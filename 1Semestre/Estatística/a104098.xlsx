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a\Documents\"/>
    </mc:Choice>
  </mc:AlternateContent>
  <xr:revisionPtr revIDLastSave="0" documentId="8_{FCAF14DD-461F-41A4-B556-F035E07A8338}" xr6:coauthVersionLast="47" xr6:coauthVersionMax="47" xr10:uidLastSave="{00000000-0000-0000-0000-000000000000}"/>
  <bookViews>
    <workbookView xWindow="-108" yWindow="-108" windowWidth="23256" windowHeight="12456" activeTab="1" xr2:uid="{36C56F55-6BE6-4B90-9E12-2698943B72CE}"/>
  </bookViews>
  <sheets>
    <sheet name="Dados do Questionário" sheetId="3" r:id="rId1"/>
    <sheet name="Análise dos Dados" sheetId="1" r:id="rId2"/>
  </sheets>
  <definedNames>
    <definedName name="_xlchart.v2.0" hidden="1">'Análise dos Dados'!$O$6:$O$14</definedName>
    <definedName name="_xlchart.v2.1" hidden="1">'Análise dos Dados'!$P$6:$P$14</definedName>
    <definedName name="_xlchart.v2.2" hidden="1">'Análise dos Dados'!$O$5:$O$13</definedName>
    <definedName name="_xlchart.v2.3" hidden="1">'Análise dos Dados'!$O$6:$O$14</definedName>
    <definedName name="_xlchart.v2.4" hidden="1">'Análise dos Dados'!$P$5:$P$13</definedName>
    <definedName name="_xlchart.v2.5" hidden="1">'Análise dos Dados'!$P$6:$P$14</definedName>
    <definedName name="_xlchart.v2.6" hidden="1">'Análise dos Dados'!$O$6:$O$14</definedName>
    <definedName name="_xlchart.v2.7" hidden="1">'Análise dos Dados'!$P$6:$P$14</definedName>
    <definedName name="_xlchart.v2.8" hidden="1">'Análise dos Dados'!$O$6:$O$14</definedName>
    <definedName name="_xlchart.v2.9" hidden="1">'Análise dos Dados'!$P$6:$P$14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9" i="1"/>
  <c r="P12" i="1"/>
  <c r="P8" i="1"/>
  <c r="P7" i="1"/>
  <c r="P10" i="1"/>
  <c r="P11" i="1"/>
  <c r="P6" i="1"/>
  <c r="M38" i="1"/>
  <c r="L33" i="1"/>
  <c r="L32" i="1"/>
  <c r="L31" i="1"/>
  <c r="L30" i="1"/>
  <c r="L29" i="1"/>
  <c r="G30" i="1"/>
  <c r="L45" i="1"/>
  <c r="L44" i="1"/>
  <c r="L43" i="1"/>
  <c r="L42" i="1"/>
  <c r="L41" i="1"/>
  <c r="L40" i="1"/>
  <c r="L39" i="1"/>
  <c r="L38" i="1"/>
  <c r="L37" i="1"/>
  <c r="N44" i="1"/>
  <c r="N43" i="1"/>
  <c r="N42" i="1"/>
  <c r="N41" i="1"/>
  <c r="N40" i="1"/>
  <c r="N39" i="1"/>
  <c r="N38" i="1"/>
  <c r="N37" i="1"/>
  <c r="M45" i="1"/>
  <c r="M44" i="1"/>
  <c r="M43" i="1"/>
  <c r="M42" i="1"/>
  <c r="M41" i="1"/>
  <c r="M40" i="1"/>
  <c r="M39" i="1"/>
  <c r="M37" i="1"/>
  <c r="I34" i="1"/>
  <c r="I33" i="1"/>
  <c r="I32" i="1"/>
  <c r="I31" i="1"/>
  <c r="I30" i="1"/>
  <c r="H34" i="1"/>
  <c r="H33" i="1"/>
  <c r="H32" i="1"/>
  <c r="H31" i="1"/>
  <c r="H30" i="1"/>
  <c r="G34" i="1"/>
  <c r="G33" i="1"/>
  <c r="G32" i="1"/>
  <c r="G31" i="1"/>
  <c r="B11" i="1"/>
  <c r="B15" i="1"/>
  <c r="B10" i="1"/>
  <c r="B23" i="1"/>
  <c r="B8" i="1"/>
  <c r="B21" i="1"/>
  <c r="B19" i="1"/>
  <c r="B7" i="1"/>
  <c r="B27" i="1"/>
  <c r="B26" i="1"/>
  <c r="B5" i="1"/>
  <c r="B25" i="1"/>
  <c r="B20" i="1"/>
  <c r="B4" i="1"/>
  <c r="B17" i="1"/>
  <c r="B22" i="1"/>
  <c r="B9" i="1"/>
  <c r="B16" i="1"/>
  <c r="B18" i="1"/>
  <c r="B14" i="1"/>
  <c r="B12" i="1"/>
  <c r="B6" i="1"/>
  <c r="B13" i="1"/>
  <c r="B24" i="1"/>
  <c r="B3" i="1"/>
</calcChain>
</file>

<file path=xl/sharedStrings.xml><?xml version="1.0" encoding="utf-8"?>
<sst xmlns="http://schemas.openxmlformats.org/spreadsheetml/2006/main" count="717" uniqueCount="56">
  <si>
    <t>Género</t>
  </si>
  <si>
    <t>Altura (cm)</t>
  </si>
  <si>
    <t>Idade</t>
  </si>
  <si>
    <t>Peso</t>
  </si>
  <si>
    <t>Possui portátil?</t>
  </si>
  <si>
    <t>Qual a marca do seu portátil?</t>
  </si>
  <si>
    <t>Indique qual o grau de satisfação com o seu portátil.</t>
  </si>
  <si>
    <t>Masculino</t>
  </si>
  <si>
    <t>Sim</t>
  </si>
  <si>
    <t>HP</t>
  </si>
  <si>
    <t>Lenovo</t>
  </si>
  <si>
    <t>Apple</t>
  </si>
  <si>
    <t>Msi</t>
  </si>
  <si>
    <t>Feminino</t>
  </si>
  <si>
    <t>Asus</t>
  </si>
  <si>
    <t>Insys</t>
  </si>
  <si>
    <t>Huawei</t>
  </si>
  <si>
    <t>LG</t>
  </si>
  <si>
    <t>Microsoft Surface</t>
  </si>
  <si>
    <t>Dell</t>
  </si>
  <si>
    <t>Acer</t>
  </si>
  <si>
    <t>HUAWEI</t>
  </si>
  <si>
    <t>MSI</t>
  </si>
  <si>
    <t>Victus</t>
  </si>
  <si>
    <t>Microsoft</t>
  </si>
  <si>
    <t>acer</t>
  </si>
  <si>
    <t>Omen</t>
  </si>
  <si>
    <t>Accer</t>
  </si>
  <si>
    <t>Não</t>
  </si>
  <si>
    <t>dynabook</t>
  </si>
  <si>
    <t>.|.</t>
  </si>
  <si>
    <t>Prefiro não responder</t>
  </si>
  <si>
    <t>Média</t>
  </si>
  <si>
    <t>Mediana</t>
  </si>
  <si>
    <t>Percentil 75</t>
  </si>
  <si>
    <t>Percentil 25</t>
  </si>
  <si>
    <t>Desvio Padrão</t>
  </si>
  <si>
    <t>Amostra</t>
  </si>
  <si>
    <t>Proporção Relativa ao Género</t>
  </si>
  <si>
    <t>Contagem</t>
  </si>
  <si>
    <t>Percentagem</t>
  </si>
  <si>
    <t>Uso do "Aleatório"</t>
  </si>
  <si>
    <t>Proporção Relativa à Preferência de Computador</t>
  </si>
  <si>
    <t>Marca</t>
  </si>
  <si>
    <t>Cálculos das variáveis quantitativas</t>
  </si>
  <si>
    <t>Grau de satisfação com o seu portátil</t>
  </si>
  <si>
    <t>Média do Grau de Satisfação por marca</t>
  </si>
  <si>
    <t xml:space="preserve">Média </t>
  </si>
  <si>
    <t>Idade (anos)</t>
  </si>
  <si>
    <t>Peso (kg)</t>
  </si>
  <si>
    <t xml:space="preserve"> </t>
  </si>
  <si>
    <r>
      <t xml:space="preserve">Percentagem de quem possui computador : </t>
    </r>
    <r>
      <rPr>
        <b/>
        <sz val="14"/>
        <color theme="1"/>
        <rFont val="Calibri"/>
        <family val="2"/>
        <scheme val="minor"/>
      </rPr>
      <t>100%</t>
    </r>
  </si>
  <si>
    <t>Contagem ( nº de utilizadores)</t>
  </si>
  <si>
    <t>Soma</t>
  </si>
  <si>
    <t>Total Corrente</t>
  </si>
  <si>
    <t>Contar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</si>
</sst>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6"/>
      <color theme="5" tint="-0.499984740745262"/>
      <name val="Calibri"/>
      <family val="2"/>
      <scheme val="minor"/>
    </font>
    <font>
      <sz val="14"/>
      <name val="Calibri"/>
      <family val="2"/>
      <scheme val="minor"/>
    </font>
    <font>
      <b/>
      <i/>
      <sz val="16"/>
      <color theme="8" tint="-0.499984740745262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6"/>
      <color theme="7" tint="-0.499984740745262"/>
      <name val="Calibri"/>
      <family val="2"/>
      <scheme val="minor"/>
    </font>
    <font>
      <i/>
      <sz val="16"/>
      <color theme="7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1" applyFont="1" applyFill="1" applyBorder="1"/>
    <xf numFmtId="0" fontId="6" fillId="0" borderId="0" xfId="0" applyFont="1" applyFill="1" applyBorder="1"/>
    <xf numFmtId="0" fontId="3" fillId="0" borderId="0" xfId="0" applyFont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0" fontId="10" fillId="0" borderId="0" xfId="0" applyFont="1"/>
    <xf numFmtId="0" fontId="7" fillId="0" borderId="0" xfId="0" applyFont="1"/>
    <xf numFmtId="0" fontId="7" fillId="2" borderId="1" xfId="1" applyFont="1" applyFill="1" applyBorder="1"/>
    <xf numFmtId="0" fontId="6" fillId="0" borderId="1" xfId="1" applyFont="1" applyBorder="1" applyAlignment="1">
      <alignment horizontal="center"/>
    </xf>
    <xf numFmtId="0" fontId="9" fillId="3" borderId="0" xfId="0" applyFont="1" applyFill="1"/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10" fontId="12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14" fillId="3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10" fontId="7" fillId="0" borderId="0" xfId="0" applyNumberFormat="1" applyFont="1" applyFill="1" applyBorder="1" applyAlignment="1">
      <alignment horizontal="center"/>
    </xf>
    <xf numFmtId="0" fontId="8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7" fillId="4" borderId="1" xfId="1" applyFont="1" applyFill="1" applyBorder="1"/>
    <xf numFmtId="0" fontId="7" fillId="4" borderId="1" xfId="0" applyFont="1" applyFill="1" applyBorder="1" applyAlignment="1">
      <alignment horizontal="center"/>
    </xf>
    <xf numFmtId="10" fontId="7" fillId="4" borderId="1" xfId="0" applyNumberFormat="1" applyFont="1" applyFill="1" applyBorder="1" applyAlignment="1">
      <alignment horizontal="center"/>
    </xf>
    <xf numFmtId="10" fontId="12" fillId="4" borderId="1" xfId="0" applyNumberFormat="1" applyFont="1" applyFill="1" applyBorder="1" applyAlignment="1">
      <alignment horizontal="center"/>
    </xf>
    <xf numFmtId="9" fontId="7" fillId="4" borderId="1" xfId="0" applyNumberFormat="1" applyFont="1" applyFill="1" applyBorder="1" applyAlignment="1">
      <alignment horizontal="center"/>
    </xf>
    <xf numFmtId="9" fontId="12" fillId="4" borderId="1" xfId="0" applyNumberFormat="1" applyFont="1" applyFill="1" applyBorder="1" applyAlignment="1">
      <alignment horizontal="center"/>
    </xf>
    <xf numFmtId="0" fontId="8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4" fillId="0" borderId="0" xfId="0" applyFont="1" applyFill="1"/>
    <xf numFmtId="0" fontId="11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D683177-AF83-4F2F-B13F-79A7933CD7A5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Percentagem do Grau de Satisfação de cada marca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Percentagem do Grau de Satisfação de cada marca</a:t>
          </a:r>
        </a:p>
      </cx:txPr>
    </cx:title>
    <cx:plotArea>
      <cx:plotAreaRegion>
        <cx:plotSurface>
          <cx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x:spPr>
        </cx:plotSurface>
        <cx:series layoutId="funnel" uniqueId="{185C81E5-7BCB-4530-9C42-729229F48E5D}">
          <cx:spPr>
            <a:solidFill>
              <a:schemeClr val="accent2">
                <a:lumMod val="40000"/>
                <a:lumOff val="60000"/>
              </a:schemeClr>
            </a:solidFill>
          </cx:spPr>
          <cx:dataPt idx="7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8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1584959</xdr:colOff>
      <xdr:row>1</xdr:row>
      <xdr:rowOff>464819</xdr:rowOff>
    </xdr:from>
    <xdr:to>
      <xdr:col>16</xdr:col>
      <xdr:colOff>1245972</xdr:colOff>
      <xdr:row>24</xdr:row>
      <xdr:rowOff>20593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8647CB3-34FD-6366-B0B9-62FFF35FDF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0743" y="650170"/>
              <a:ext cx="7486959" cy="462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0E17-FC4F-41AB-975D-A77FD07903E8}">
  <dimension ref="A1:H196"/>
  <sheetViews>
    <sheetView zoomScale="56" workbookViewId="0">
      <selection activeCell="G10" sqref="G10"/>
    </sheetView>
  </sheetViews>
  <sheetFormatPr defaultRowHeight="14.4" x14ac:dyDescent="0.3"/>
  <cols>
    <col min="1" max="1" width="8.88671875" style="8"/>
    <col min="3" max="3" width="11.6640625" customWidth="1"/>
    <col min="4" max="4" width="12.21875" customWidth="1"/>
    <col min="5" max="5" width="11.6640625" customWidth="1"/>
    <col min="6" max="6" width="16.109375" customWidth="1"/>
    <col min="7" max="7" width="23.88671875" customWidth="1"/>
    <col min="8" max="8" width="43.33203125" customWidth="1"/>
  </cols>
  <sheetData>
    <row r="1" spans="1:8" x14ac:dyDescent="0.3">
      <c r="A1" s="9" t="s">
        <v>37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x14ac:dyDescent="0.3">
      <c r="A2" s="8">
        <v>1</v>
      </c>
      <c r="B2" s="7" t="s">
        <v>7</v>
      </c>
      <c r="C2" s="7">
        <v>187</v>
      </c>
      <c r="D2" s="7">
        <v>21</v>
      </c>
      <c r="E2" s="7">
        <v>73</v>
      </c>
      <c r="F2" s="7" t="s">
        <v>8</v>
      </c>
      <c r="G2" s="7" t="s">
        <v>9</v>
      </c>
      <c r="H2" s="7">
        <v>2</v>
      </c>
    </row>
    <row r="3" spans="1:8" x14ac:dyDescent="0.3">
      <c r="A3" s="8">
        <v>2</v>
      </c>
      <c r="B3" s="7" t="s">
        <v>7</v>
      </c>
      <c r="C3" s="7">
        <v>173</v>
      </c>
      <c r="D3" s="7">
        <v>18</v>
      </c>
      <c r="E3" s="7">
        <v>65</v>
      </c>
      <c r="F3" s="7" t="s">
        <v>8</v>
      </c>
      <c r="G3" s="7" t="s">
        <v>10</v>
      </c>
      <c r="H3" s="7">
        <v>3</v>
      </c>
    </row>
    <row r="4" spans="1:8" x14ac:dyDescent="0.3">
      <c r="A4" s="8">
        <v>3</v>
      </c>
      <c r="B4" s="7" t="s">
        <v>7</v>
      </c>
      <c r="C4" s="7">
        <v>184</v>
      </c>
      <c r="D4" s="7">
        <v>18</v>
      </c>
      <c r="E4" s="7">
        <v>94</v>
      </c>
      <c r="F4" s="7" t="s">
        <v>8</v>
      </c>
      <c r="G4" s="7" t="s">
        <v>11</v>
      </c>
      <c r="H4" s="7">
        <v>4</v>
      </c>
    </row>
    <row r="5" spans="1:8" x14ac:dyDescent="0.3">
      <c r="A5" s="8">
        <v>4</v>
      </c>
      <c r="B5" s="7" t="s">
        <v>7</v>
      </c>
      <c r="C5" s="7">
        <v>184</v>
      </c>
      <c r="D5" s="7">
        <v>19</v>
      </c>
      <c r="E5" s="7">
        <v>69</v>
      </c>
      <c r="F5" s="7" t="s">
        <v>8</v>
      </c>
      <c r="G5" s="7" t="s">
        <v>12</v>
      </c>
      <c r="H5" s="7">
        <v>5</v>
      </c>
    </row>
    <row r="6" spans="1:8" x14ac:dyDescent="0.3">
      <c r="A6" s="8">
        <v>5</v>
      </c>
      <c r="B6" s="7" t="s">
        <v>13</v>
      </c>
      <c r="C6" s="7">
        <v>158</v>
      </c>
      <c r="D6" s="7">
        <v>19</v>
      </c>
      <c r="E6" s="7">
        <v>55</v>
      </c>
      <c r="F6" s="7" t="s">
        <v>8</v>
      </c>
      <c r="G6" s="7" t="s">
        <v>14</v>
      </c>
      <c r="H6" s="7">
        <v>5</v>
      </c>
    </row>
    <row r="7" spans="1:8" x14ac:dyDescent="0.3">
      <c r="A7" s="8">
        <v>6</v>
      </c>
      <c r="B7" s="7" t="s">
        <v>13</v>
      </c>
      <c r="C7" s="7">
        <v>170</v>
      </c>
      <c r="D7" s="7">
        <v>18</v>
      </c>
      <c r="E7" s="7">
        <v>70</v>
      </c>
      <c r="F7" s="7" t="s">
        <v>8</v>
      </c>
      <c r="G7" s="7" t="s">
        <v>10</v>
      </c>
      <c r="H7" s="7">
        <v>5</v>
      </c>
    </row>
    <row r="8" spans="1:8" x14ac:dyDescent="0.3">
      <c r="A8" s="8">
        <v>7</v>
      </c>
      <c r="B8" s="7" t="s">
        <v>7</v>
      </c>
      <c r="C8" s="7">
        <v>167</v>
      </c>
      <c r="D8" s="7">
        <v>19</v>
      </c>
      <c r="E8" s="7">
        <v>59</v>
      </c>
      <c r="F8" s="7" t="s">
        <v>8</v>
      </c>
      <c r="G8" s="7" t="s">
        <v>14</v>
      </c>
      <c r="H8" s="7">
        <v>5</v>
      </c>
    </row>
    <row r="9" spans="1:8" x14ac:dyDescent="0.3">
      <c r="A9" s="8">
        <v>8</v>
      </c>
      <c r="B9" s="7" t="s">
        <v>7</v>
      </c>
      <c r="C9" s="7">
        <v>182</v>
      </c>
      <c r="D9" s="7">
        <v>19</v>
      </c>
      <c r="E9" s="7">
        <v>86</v>
      </c>
      <c r="F9" s="7" t="s">
        <v>8</v>
      </c>
      <c r="G9" s="7" t="s">
        <v>14</v>
      </c>
      <c r="H9" s="7">
        <v>4</v>
      </c>
    </row>
    <row r="10" spans="1:8" x14ac:dyDescent="0.3">
      <c r="A10" s="8">
        <v>9</v>
      </c>
      <c r="B10" s="7" t="s">
        <v>7</v>
      </c>
      <c r="C10" s="7">
        <v>180</v>
      </c>
      <c r="D10" s="7">
        <v>19</v>
      </c>
      <c r="E10" s="7">
        <v>60</v>
      </c>
      <c r="F10" s="7" t="s">
        <v>8</v>
      </c>
      <c r="G10" s="7" t="s">
        <v>15</v>
      </c>
      <c r="H10" s="7">
        <v>4</v>
      </c>
    </row>
    <row r="11" spans="1:8" x14ac:dyDescent="0.3">
      <c r="A11" s="8">
        <v>10</v>
      </c>
      <c r="B11" s="7" t="s">
        <v>7</v>
      </c>
      <c r="C11" s="7">
        <v>183</v>
      </c>
      <c r="D11" s="7">
        <v>18</v>
      </c>
      <c r="E11" s="7">
        <v>62</v>
      </c>
      <c r="F11" s="7" t="s">
        <v>8</v>
      </c>
      <c r="G11" s="7" t="s">
        <v>16</v>
      </c>
      <c r="H11" s="7">
        <v>5</v>
      </c>
    </row>
    <row r="12" spans="1:8" x14ac:dyDescent="0.3">
      <c r="A12" s="8">
        <v>11</v>
      </c>
      <c r="B12" s="7" t="s">
        <v>13</v>
      </c>
      <c r="C12" s="7">
        <v>168</v>
      </c>
      <c r="D12" s="7">
        <v>19</v>
      </c>
      <c r="E12" s="7">
        <v>59</v>
      </c>
      <c r="F12" s="7" t="s">
        <v>8</v>
      </c>
      <c r="G12" s="7" t="s">
        <v>17</v>
      </c>
      <c r="H12" s="7">
        <v>5</v>
      </c>
    </row>
    <row r="13" spans="1:8" x14ac:dyDescent="0.3">
      <c r="A13" s="8">
        <v>12</v>
      </c>
      <c r="B13" s="7" t="s">
        <v>7</v>
      </c>
      <c r="C13" s="7">
        <v>187</v>
      </c>
      <c r="D13" s="7">
        <v>19</v>
      </c>
      <c r="E13" s="7">
        <v>70</v>
      </c>
      <c r="F13" s="7" t="s">
        <v>8</v>
      </c>
      <c r="G13" s="7" t="s">
        <v>10</v>
      </c>
      <c r="H13" s="7">
        <v>5</v>
      </c>
    </row>
    <row r="14" spans="1:8" x14ac:dyDescent="0.3">
      <c r="A14" s="8">
        <v>13</v>
      </c>
      <c r="B14" s="7" t="s">
        <v>7</v>
      </c>
      <c r="C14" s="7">
        <v>170</v>
      </c>
      <c r="D14" s="7">
        <v>19</v>
      </c>
      <c r="E14" s="7">
        <v>60</v>
      </c>
      <c r="F14" s="7" t="s">
        <v>8</v>
      </c>
      <c r="G14" s="7" t="s">
        <v>18</v>
      </c>
      <c r="H14" s="7">
        <v>4</v>
      </c>
    </row>
    <row r="15" spans="1:8" x14ac:dyDescent="0.3">
      <c r="A15" s="8">
        <v>14</v>
      </c>
      <c r="B15" s="7" t="s">
        <v>7</v>
      </c>
      <c r="C15" s="7">
        <v>177</v>
      </c>
      <c r="D15" s="7">
        <v>18</v>
      </c>
      <c r="E15" s="7">
        <v>66</v>
      </c>
      <c r="F15" s="7" t="s">
        <v>8</v>
      </c>
      <c r="G15" s="7" t="s">
        <v>14</v>
      </c>
      <c r="H15" s="7">
        <v>5</v>
      </c>
    </row>
    <row r="16" spans="1:8" x14ac:dyDescent="0.3">
      <c r="A16" s="8">
        <v>15</v>
      </c>
      <c r="B16" s="7" t="s">
        <v>7</v>
      </c>
      <c r="C16" s="7">
        <v>180</v>
      </c>
      <c r="D16" s="7">
        <v>20</v>
      </c>
      <c r="E16" s="7">
        <v>73</v>
      </c>
      <c r="F16" s="7" t="s">
        <v>8</v>
      </c>
      <c r="G16" s="7" t="s">
        <v>19</v>
      </c>
      <c r="H16" s="7">
        <v>5</v>
      </c>
    </row>
    <row r="17" spans="1:8" x14ac:dyDescent="0.3">
      <c r="A17" s="8">
        <v>16</v>
      </c>
      <c r="B17" s="7" t="s">
        <v>7</v>
      </c>
      <c r="C17" s="7">
        <v>170</v>
      </c>
      <c r="D17" s="7">
        <v>20</v>
      </c>
      <c r="E17" s="7">
        <v>67.900000000000006</v>
      </c>
      <c r="F17" s="7" t="s">
        <v>8</v>
      </c>
      <c r="G17" s="7" t="s">
        <v>20</v>
      </c>
      <c r="H17" s="7">
        <v>4</v>
      </c>
    </row>
    <row r="18" spans="1:8" x14ac:dyDescent="0.3">
      <c r="A18" s="8">
        <v>17</v>
      </c>
      <c r="B18" s="7" t="s">
        <v>7</v>
      </c>
      <c r="C18" s="7">
        <v>170</v>
      </c>
      <c r="D18" s="7">
        <v>19</v>
      </c>
      <c r="E18" s="7">
        <v>63</v>
      </c>
      <c r="F18" s="7" t="s">
        <v>8</v>
      </c>
      <c r="G18" s="7" t="s">
        <v>21</v>
      </c>
      <c r="H18" s="7">
        <v>4</v>
      </c>
    </row>
    <row r="19" spans="1:8" x14ac:dyDescent="0.3">
      <c r="A19" s="8">
        <v>18</v>
      </c>
      <c r="B19" s="7" t="s">
        <v>7</v>
      </c>
      <c r="C19" s="7">
        <v>187</v>
      </c>
      <c r="D19" s="7">
        <v>23</v>
      </c>
      <c r="E19" s="7">
        <v>91</v>
      </c>
      <c r="F19" s="7" t="s">
        <v>8</v>
      </c>
      <c r="G19" s="7" t="s">
        <v>9</v>
      </c>
      <c r="H19" s="7">
        <v>5</v>
      </c>
    </row>
    <row r="20" spans="1:8" x14ac:dyDescent="0.3">
      <c r="A20" s="8">
        <v>19</v>
      </c>
      <c r="B20" s="7" t="s">
        <v>7</v>
      </c>
      <c r="C20" s="7">
        <v>169</v>
      </c>
      <c r="D20" s="7">
        <v>18</v>
      </c>
      <c r="E20" s="7">
        <v>52</v>
      </c>
      <c r="F20" s="7" t="s">
        <v>8</v>
      </c>
      <c r="G20" s="7" t="s">
        <v>14</v>
      </c>
      <c r="H20" s="7">
        <v>4</v>
      </c>
    </row>
    <row r="21" spans="1:8" x14ac:dyDescent="0.3">
      <c r="A21" s="8">
        <v>20</v>
      </c>
      <c r="B21" s="7" t="s">
        <v>7</v>
      </c>
      <c r="C21" s="7">
        <v>184</v>
      </c>
      <c r="D21" s="7">
        <v>19</v>
      </c>
      <c r="E21" s="7">
        <v>106</v>
      </c>
      <c r="F21" s="7" t="s">
        <v>8</v>
      </c>
      <c r="G21" s="7" t="s">
        <v>14</v>
      </c>
      <c r="H21" s="7">
        <v>4</v>
      </c>
    </row>
    <row r="22" spans="1:8" x14ac:dyDescent="0.3">
      <c r="A22" s="8">
        <v>21</v>
      </c>
      <c r="B22" s="7" t="s">
        <v>7</v>
      </c>
      <c r="C22" s="7">
        <v>176</v>
      </c>
      <c r="D22" s="7">
        <v>19</v>
      </c>
      <c r="E22" s="7">
        <v>83</v>
      </c>
      <c r="F22" s="7" t="s">
        <v>8</v>
      </c>
      <c r="G22" s="7" t="s">
        <v>10</v>
      </c>
      <c r="H22" s="7">
        <v>5</v>
      </c>
    </row>
    <row r="23" spans="1:8" x14ac:dyDescent="0.3">
      <c r="A23" s="8">
        <v>22</v>
      </c>
      <c r="B23" s="7" t="s">
        <v>7</v>
      </c>
      <c r="C23" s="7">
        <v>180</v>
      </c>
      <c r="D23" s="7">
        <v>19</v>
      </c>
      <c r="E23" s="7">
        <v>82</v>
      </c>
      <c r="F23" s="7" t="s">
        <v>8</v>
      </c>
      <c r="G23" s="7" t="s">
        <v>10</v>
      </c>
      <c r="H23" s="7">
        <v>5</v>
      </c>
    </row>
    <row r="24" spans="1:8" x14ac:dyDescent="0.3">
      <c r="A24" s="8">
        <v>23</v>
      </c>
      <c r="B24" s="7" t="s">
        <v>7</v>
      </c>
      <c r="C24" s="7">
        <v>187</v>
      </c>
      <c r="D24" s="7">
        <v>18</v>
      </c>
      <c r="E24" s="7">
        <v>89</v>
      </c>
      <c r="F24" s="7" t="s">
        <v>8</v>
      </c>
      <c r="G24" s="7" t="s">
        <v>10</v>
      </c>
      <c r="H24" s="7">
        <v>4</v>
      </c>
    </row>
    <row r="25" spans="1:8" x14ac:dyDescent="0.3">
      <c r="A25" s="8">
        <v>24</v>
      </c>
      <c r="B25" s="7" t="s">
        <v>7</v>
      </c>
      <c r="C25" s="7">
        <v>178</v>
      </c>
      <c r="D25" s="7">
        <v>20</v>
      </c>
      <c r="E25" s="7">
        <v>85</v>
      </c>
      <c r="F25" s="7" t="s">
        <v>8</v>
      </c>
      <c r="G25" s="7" t="s">
        <v>19</v>
      </c>
      <c r="H25" s="7">
        <v>4</v>
      </c>
    </row>
    <row r="26" spans="1:8" x14ac:dyDescent="0.3">
      <c r="A26" s="8">
        <v>25</v>
      </c>
      <c r="B26" s="7" t="s">
        <v>7</v>
      </c>
      <c r="C26" s="7">
        <v>173</v>
      </c>
      <c r="D26" s="7">
        <v>20</v>
      </c>
      <c r="E26" s="7">
        <v>60</v>
      </c>
      <c r="F26" s="7" t="s">
        <v>8</v>
      </c>
      <c r="G26" s="7" t="s">
        <v>11</v>
      </c>
      <c r="H26" s="7">
        <v>5</v>
      </c>
    </row>
    <row r="27" spans="1:8" x14ac:dyDescent="0.3">
      <c r="A27" s="8">
        <v>26</v>
      </c>
      <c r="B27" s="7" t="s">
        <v>7</v>
      </c>
      <c r="C27" s="7">
        <v>175</v>
      </c>
      <c r="D27" s="7">
        <v>19</v>
      </c>
      <c r="E27" s="7">
        <v>55</v>
      </c>
      <c r="F27" s="7" t="s">
        <v>8</v>
      </c>
      <c r="G27" s="7" t="s">
        <v>10</v>
      </c>
      <c r="H27" s="7">
        <v>4</v>
      </c>
    </row>
    <row r="28" spans="1:8" x14ac:dyDescent="0.3">
      <c r="A28" s="8">
        <v>27</v>
      </c>
      <c r="B28" s="7" t="s">
        <v>7</v>
      </c>
      <c r="C28" s="7">
        <v>178</v>
      </c>
      <c r="D28" s="7">
        <v>18</v>
      </c>
      <c r="E28" s="7">
        <v>90</v>
      </c>
      <c r="F28" s="7" t="s">
        <v>8</v>
      </c>
      <c r="G28" s="7" t="s">
        <v>22</v>
      </c>
      <c r="H28" s="7">
        <v>4</v>
      </c>
    </row>
    <row r="29" spans="1:8" x14ac:dyDescent="0.3">
      <c r="A29" s="8">
        <v>28</v>
      </c>
      <c r="B29" s="7" t="s">
        <v>7</v>
      </c>
      <c r="C29" s="7">
        <v>175</v>
      </c>
      <c r="D29" s="7">
        <v>18</v>
      </c>
      <c r="E29" s="7">
        <v>73</v>
      </c>
      <c r="F29" s="7" t="s">
        <v>8</v>
      </c>
      <c r="G29" s="7" t="s">
        <v>10</v>
      </c>
      <c r="H29" s="7">
        <v>4</v>
      </c>
    </row>
    <row r="30" spans="1:8" x14ac:dyDescent="0.3">
      <c r="A30" s="8">
        <v>29</v>
      </c>
      <c r="B30" s="7" t="s">
        <v>7</v>
      </c>
      <c r="C30" s="7">
        <v>190</v>
      </c>
      <c r="D30" s="7">
        <v>19</v>
      </c>
      <c r="E30" s="7">
        <v>82</v>
      </c>
      <c r="F30" s="7" t="s">
        <v>8</v>
      </c>
      <c r="G30" s="7" t="s">
        <v>20</v>
      </c>
      <c r="H30" s="7">
        <v>3</v>
      </c>
    </row>
    <row r="31" spans="1:8" x14ac:dyDescent="0.3">
      <c r="A31" s="8">
        <v>30</v>
      </c>
      <c r="B31" s="7" t="s">
        <v>7</v>
      </c>
      <c r="C31" s="7">
        <v>183</v>
      </c>
      <c r="D31" s="7">
        <v>19</v>
      </c>
      <c r="E31" s="7">
        <v>78</v>
      </c>
      <c r="F31" s="7" t="s">
        <v>8</v>
      </c>
      <c r="G31" s="7" t="s">
        <v>11</v>
      </c>
      <c r="H31" s="7">
        <v>5</v>
      </c>
    </row>
    <row r="32" spans="1:8" x14ac:dyDescent="0.3">
      <c r="A32" s="8">
        <v>31</v>
      </c>
      <c r="B32" s="7" t="s">
        <v>7</v>
      </c>
      <c r="C32" s="7">
        <v>177</v>
      </c>
      <c r="D32" s="7">
        <v>18</v>
      </c>
      <c r="E32" s="7">
        <v>66</v>
      </c>
      <c r="F32" s="7" t="s">
        <v>8</v>
      </c>
      <c r="G32" s="7" t="s">
        <v>11</v>
      </c>
      <c r="H32" s="7">
        <v>5</v>
      </c>
    </row>
    <row r="33" spans="1:8" x14ac:dyDescent="0.3">
      <c r="A33" s="8">
        <v>32</v>
      </c>
      <c r="B33" s="7" t="s">
        <v>7</v>
      </c>
      <c r="C33" s="7">
        <v>176</v>
      </c>
      <c r="D33" s="7">
        <v>19</v>
      </c>
      <c r="E33" s="7">
        <v>70</v>
      </c>
      <c r="F33" s="7" t="s">
        <v>8</v>
      </c>
      <c r="G33" s="7" t="s">
        <v>14</v>
      </c>
      <c r="H33" s="7">
        <v>5</v>
      </c>
    </row>
    <row r="34" spans="1:8" x14ac:dyDescent="0.3">
      <c r="A34" s="8">
        <v>33</v>
      </c>
      <c r="B34" s="7" t="s">
        <v>7</v>
      </c>
      <c r="C34" s="7">
        <v>175</v>
      </c>
      <c r="D34" s="7">
        <v>19</v>
      </c>
      <c r="E34" s="7">
        <v>71</v>
      </c>
      <c r="F34" s="7" t="s">
        <v>8</v>
      </c>
      <c r="G34" s="7" t="s">
        <v>11</v>
      </c>
      <c r="H34" s="7">
        <v>4</v>
      </c>
    </row>
    <row r="35" spans="1:8" x14ac:dyDescent="0.3">
      <c r="A35" s="8">
        <v>34</v>
      </c>
      <c r="B35" s="7" t="s">
        <v>7</v>
      </c>
      <c r="C35" s="7">
        <v>175</v>
      </c>
      <c r="D35" s="7">
        <v>19</v>
      </c>
      <c r="E35" s="7">
        <v>71</v>
      </c>
      <c r="F35" s="7" t="s">
        <v>8</v>
      </c>
      <c r="G35" s="7" t="s">
        <v>11</v>
      </c>
      <c r="H35" s="7">
        <v>4</v>
      </c>
    </row>
    <row r="36" spans="1:8" x14ac:dyDescent="0.3">
      <c r="A36" s="8">
        <v>35</v>
      </c>
      <c r="B36" s="7" t="s">
        <v>7</v>
      </c>
      <c r="C36" s="7">
        <v>178</v>
      </c>
      <c r="D36" s="7">
        <v>19</v>
      </c>
      <c r="E36" s="7">
        <v>78</v>
      </c>
      <c r="F36" s="7" t="s">
        <v>8</v>
      </c>
      <c r="G36" s="7" t="s">
        <v>14</v>
      </c>
      <c r="H36" s="7">
        <v>5</v>
      </c>
    </row>
    <row r="37" spans="1:8" x14ac:dyDescent="0.3">
      <c r="A37" s="8">
        <v>36</v>
      </c>
      <c r="B37" s="7" t="s">
        <v>7</v>
      </c>
      <c r="C37" s="7">
        <v>170</v>
      </c>
      <c r="D37" s="7">
        <v>18</v>
      </c>
      <c r="E37" s="7">
        <v>64</v>
      </c>
      <c r="F37" s="7" t="s">
        <v>8</v>
      </c>
      <c r="G37" s="7" t="s">
        <v>19</v>
      </c>
      <c r="H37" s="7">
        <v>4</v>
      </c>
    </row>
    <row r="38" spans="1:8" x14ac:dyDescent="0.3">
      <c r="A38" s="8">
        <v>37</v>
      </c>
      <c r="B38" s="7" t="s">
        <v>7</v>
      </c>
      <c r="C38" s="7">
        <v>187</v>
      </c>
      <c r="D38" s="7">
        <v>20</v>
      </c>
      <c r="E38" s="7">
        <v>62</v>
      </c>
      <c r="F38" s="7" t="s">
        <v>8</v>
      </c>
      <c r="G38" s="7" t="s">
        <v>11</v>
      </c>
      <c r="H38" s="7">
        <v>5</v>
      </c>
    </row>
    <row r="39" spans="1:8" x14ac:dyDescent="0.3">
      <c r="A39" s="8">
        <v>38</v>
      </c>
      <c r="B39" s="7" t="s">
        <v>7</v>
      </c>
      <c r="C39" s="7">
        <v>170</v>
      </c>
      <c r="D39" s="7">
        <v>21</v>
      </c>
      <c r="E39" s="7">
        <v>70</v>
      </c>
      <c r="F39" s="7" t="s">
        <v>8</v>
      </c>
      <c r="G39" s="7" t="s">
        <v>9</v>
      </c>
      <c r="H39" s="7">
        <v>4</v>
      </c>
    </row>
    <row r="40" spans="1:8" x14ac:dyDescent="0.3">
      <c r="A40" s="8">
        <v>39</v>
      </c>
      <c r="B40" s="7" t="s">
        <v>7</v>
      </c>
      <c r="C40" s="7">
        <v>180</v>
      </c>
      <c r="D40" s="7">
        <v>20</v>
      </c>
      <c r="E40" s="7">
        <v>69</v>
      </c>
      <c r="F40" s="7" t="s">
        <v>8</v>
      </c>
      <c r="G40" s="7" t="s">
        <v>14</v>
      </c>
      <c r="H40" s="7">
        <v>3</v>
      </c>
    </row>
    <row r="41" spans="1:8" x14ac:dyDescent="0.3">
      <c r="A41" s="8">
        <v>40</v>
      </c>
      <c r="B41" s="7" t="s">
        <v>7</v>
      </c>
      <c r="C41" s="7">
        <v>180</v>
      </c>
      <c r="D41" s="7">
        <v>19</v>
      </c>
      <c r="E41" s="7">
        <v>69</v>
      </c>
      <c r="F41" s="7" t="s">
        <v>8</v>
      </c>
      <c r="G41" s="7" t="s">
        <v>9</v>
      </c>
      <c r="H41" s="7">
        <v>3</v>
      </c>
    </row>
    <row r="42" spans="1:8" x14ac:dyDescent="0.3">
      <c r="A42" s="8">
        <v>41</v>
      </c>
      <c r="B42" s="7" t="s">
        <v>7</v>
      </c>
      <c r="C42" s="7">
        <v>183</v>
      </c>
      <c r="D42" s="7">
        <v>18</v>
      </c>
      <c r="E42" s="7">
        <v>81</v>
      </c>
      <c r="F42" s="7" t="s">
        <v>8</v>
      </c>
      <c r="G42" s="7" t="s">
        <v>9</v>
      </c>
      <c r="H42" s="7">
        <v>4</v>
      </c>
    </row>
    <row r="43" spans="1:8" x14ac:dyDescent="0.3">
      <c r="A43" s="8">
        <v>42</v>
      </c>
      <c r="B43" s="7" t="s">
        <v>7</v>
      </c>
      <c r="C43" s="7">
        <v>182</v>
      </c>
      <c r="D43" s="7">
        <v>19</v>
      </c>
      <c r="E43" s="7">
        <v>63</v>
      </c>
      <c r="F43" s="7" t="s">
        <v>8</v>
      </c>
      <c r="G43" s="7" t="s">
        <v>10</v>
      </c>
      <c r="H43" s="7">
        <v>4</v>
      </c>
    </row>
    <row r="44" spans="1:8" x14ac:dyDescent="0.3">
      <c r="A44" s="8">
        <v>43</v>
      </c>
      <c r="B44" s="7" t="s">
        <v>7</v>
      </c>
      <c r="C44" s="7">
        <v>177</v>
      </c>
      <c r="D44" s="7">
        <v>19</v>
      </c>
      <c r="E44" s="7">
        <v>65</v>
      </c>
      <c r="F44" s="7" t="s">
        <v>8</v>
      </c>
      <c r="G44" s="7" t="s">
        <v>9</v>
      </c>
      <c r="H44" s="7">
        <v>4</v>
      </c>
    </row>
    <row r="45" spans="1:8" x14ac:dyDescent="0.3">
      <c r="A45" s="8">
        <v>44</v>
      </c>
      <c r="B45" s="7" t="s">
        <v>7</v>
      </c>
      <c r="C45" s="7">
        <v>186</v>
      </c>
      <c r="D45" s="7">
        <v>19</v>
      </c>
      <c r="E45" s="7">
        <v>88</v>
      </c>
      <c r="F45" s="7" t="s">
        <v>8</v>
      </c>
      <c r="G45" s="7" t="s">
        <v>9</v>
      </c>
      <c r="H45" s="7">
        <v>3</v>
      </c>
    </row>
    <row r="46" spans="1:8" x14ac:dyDescent="0.3">
      <c r="A46" s="8">
        <v>45</v>
      </c>
      <c r="B46" s="7" t="s">
        <v>13</v>
      </c>
      <c r="C46" s="7">
        <v>167</v>
      </c>
      <c r="D46" s="7">
        <v>19</v>
      </c>
      <c r="E46" s="7">
        <v>60</v>
      </c>
      <c r="F46" s="7" t="s">
        <v>8</v>
      </c>
      <c r="G46" s="7" t="s">
        <v>11</v>
      </c>
      <c r="H46" s="7">
        <v>5</v>
      </c>
    </row>
    <row r="47" spans="1:8" x14ac:dyDescent="0.3">
      <c r="A47" s="8">
        <v>46</v>
      </c>
      <c r="B47" s="7" t="s">
        <v>7</v>
      </c>
      <c r="C47" s="7">
        <v>179</v>
      </c>
      <c r="D47" s="7">
        <v>18</v>
      </c>
      <c r="E47" s="7">
        <v>65</v>
      </c>
      <c r="F47" s="7" t="s">
        <v>8</v>
      </c>
      <c r="G47" s="7" t="s">
        <v>9</v>
      </c>
      <c r="H47" s="7">
        <v>5</v>
      </c>
    </row>
    <row r="48" spans="1:8" x14ac:dyDescent="0.3">
      <c r="A48" s="8">
        <v>47</v>
      </c>
      <c r="B48" s="7" t="s">
        <v>7</v>
      </c>
      <c r="C48" s="7">
        <v>176</v>
      </c>
      <c r="D48" s="7">
        <v>18</v>
      </c>
      <c r="E48" s="7">
        <v>65</v>
      </c>
      <c r="F48" s="7" t="s">
        <v>8</v>
      </c>
      <c r="G48" s="7" t="s">
        <v>22</v>
      </c>
      <c r="H48" s="7">
        <v>5</v>
      </c>
    </row>
    <row r="49" spans="1:8" x14ac:dyDescent="0.3">
      <c r="A49" s="8">
        <v>48</v>
      </c>
      <c r="B49" s="7" t="s">
        <v>7</v>
      </c>
      <c r="C49" s="7">
        <v>174</v>
      </c>
      <c r="D49" s="7">
        <v>18</v>
      </c>
      <c r="E49" s="7">
        <v>73</v>
      </c>
      <c r="F49" s="7" t="s">
        <v>8</v>
      </c>
      <c r="G49" s="7" t="s">
        <v>9</v>
      </c>
      <c r="H49" s="7">
        <v>5</v>
      </c>
    </row>
    <row r="50" spans="1:8" x14ac:dyDescent="0.3">
      <c r="A50" s="8">
        <v>49</v>
      </c>
      <c r="B50" s="7" t="s">
        <v>7</v>
      </c>
      <c r="C50" s="7">
        <v>169</v>
      </c>
      <c r="D50" s="7">
        <v>18</v>
      </c>
      <c r="E50" s="7">
        <v>70</v>
      </c>
      <c r="F50" s="7" t="s">
        <v>8</v>
      </c>
      <c r="G50" s="7" t="s">
        <v>14</v>
      </c>
      <c r="H50" s="7">
        <v>5</v>
      </c>
    </row>
    <row r="51" spans="1:8" x14ac:dyDescent="0.3">
      <c r="A51" s="8">
        <v>50</v>
      </c>
      <c r="B51" s="7" t="s">
        <v>7</v>
      </c>
      <c r="C51" s="7">
        <v>184</v>
      </c>
      <c r="D51" s="7">
        <v>19</v>
      </c>
      <c r="E51" s="7">
        <v>102</v>
      </c>
      <c r="F51" s="7" t="s">
        <v>8</v>
      </c>
      <c r="G51" s="7" t="s">
        <v>14</v>
      </c>
      <c r="H51" s="7">
        <v>5</v>
      </c>
    </row>
    <row r="52" spans="1:8" x14ac:dyDescent="0.3">
      <c r="A52" s="8">
        <v>51</v>
      </c>
      <c r="B52" s="7" t="s">
        <v>7</v>
      </c>
      <c r="C52" s="7">
        <v>193</v>
      </c>
      <c r="D52" s="7">
        <v>19</v>
      </c>
      <c r="E52" s="7">
        <v>80</v>
      </c>
      <c r="F52" s="7" t="s">
        <v>8</v>
      </c>
      <c r="G52" s="7" t="s">
        <v>14</v>
      </c>
      <c r="H52" s="7">
        <v>4</v>
      </c>
    </row>
    <row r="53" spans="1:8" x14ac:dyDescent="0.3">
      <c r="A53" s="8">
        <v>52</v>
      </c>
      <c r="B53" s="7" t="s">
        <v>7</v>
      </c>
      <c r="C53" s="7">
        <v>176</v>
      </c>
      <c r="D53" s="7">
        <v>19</v>
      </c>
      <c r="E53" s="7">
        <v>75</v>
      </c>
      <c r="F53" s="7" t="s">
        <v>8</v>
      </c>
      <c r="G53" s="7" t="s">
        <v>9</v>
      </c>
      <c r="H53" s="7">
        <v>4</v>
      </c>
    </row>
    <row r="54" spans="1:8" x14ac:dyDescent="0.3">
      <c r="A54" s="8">
        <v>53</v>
      </c>
      <c r="B54" s="7" t="s">
        <v>7</v>
      </c>
      <c r="C54" s="7">
        <v>176</v>
      </c>
      <c r="D54" s="7">
        <v>19</v>
      </c>
      <c r="E54" s="7">
        <v>71</v>
      </c>
      <c r="F54" s="7" t="s">
        <v>8</v>
      </c>
      <c r="G54" s="7" t="s">
        <v>14</v>
      </c>
      <c r="H54" s="7">
        <v>4</v>
      </c>
    </row>
    <row r="55" spans="1:8" x14ac:dyDescent="0.3">
      <c r="A55" s="8">
        <v>54</v>
      </c>
      <c r="B55" s="7" t="s">
        <v>7</v>
      </c>
      <c r="C55" s="7">
        <v>185</v>
      </c>
      <c r="D55" s="7">
        <v>19</v>
      </c>
      <c r="E55" s="7">
        <v>73</v>
      </c>
      <c r="F55" s="7" t="s">
        <v>8</v>
      </c>
      <c r="G55" s="7" t="s">
        <v>10</v>
      </c>
      <c r="H55" s="7">
        <v>4</v>
      </c>
    </row>
    <row r="56" spans="1:8" x14ac:dyDescent="0.3">
      <c r="A56" s="8">
        <v>55</v>
      </c>
      <c r="B56" s="7" t="s">
        <v>7</v>
      </c>
      <c r="C56" s="7">
        <v>174</v>
      </c>
      <c r="D56" s="7">
        <v>19</v>
      </c>
      <c r="E56" s="7">
        <v>64.5</v>
      </c>
      <c r="F56" s="7" t="s">
        <v>8</v>
      </c>
      <c r="G56" s="7" t="s">
        <v>14</v>
      </c>
      <c r="H56" s="7">
        <v>5</v>
      </c>
    </row>
    <row r="57" spans="1:8" x14ac:dyDescent="0.3">
      <c r="A57" s="8">
        <v>56</v>
      </c>
      <c r="B57" s="7" t="s">
        <v>7</v>
      </c>
      <c r="C57" s="7">
        <v>175</v>
      </c>
      <c r="D57" s="7">
        <v>18</v>
      </c>
      <c r="E57" s="7">
        <v>69</v>
      </c>
      <c r="F57" s="7" t="s">
        <v>8</v>
      </c>
      <c r="G57" s="7" t="s">
        <v>23</v>
      </c>
      <c r="H57" s="7">
        <v>4</v>
      </c>
    </row>
    <row r="58" spans="1:8" x14ac:dyDescent="0.3">
      <c r="A58" s="8">
        <v>57</v>
      </c>
      <c r="B58" s="7" t="s">
        <v>7</v>
      </c>
      <c r="C58" s="7">
        <v>176</v>
      </c>
      <c r="D58" s="7">
        <v>19</v>
      </c>
      <c r="E58" s="7">
        <v>72</v>
      </c>
      <c r="F58" s="7" t="s">
        <v>8</v>
      </c>
      <c r="G58" s="7" t="s">
        <v>22</v>
      </c>
      <c r="H58" s="7">
        <v>4</v>
      </c>
    </row>
    <row r="59" spans="1:8" x14ac:dyDescent="0.3">
      <c r="A59" s="8">
        <v>58</v>
      </c>
      <c r="B59" s="7" t="s">
        <v>13</v>
      </c>
      <c r="C59" s="7">
        <v>171</v>
      </c>
      <c r="D59" s="7">
        <v>19</v>
      </c>
      <c r="E59" s="7">
        <v>56</v>
      </c>
      <c r="F59" s="7" t="s">
        <v>8</v>
      </c>
      <c r="G59" s="7" t="s">
        <v>14</v>
      </c>
      <c r="H59" s="7">
        <v>4</v>
      </c>
    </row>
    <row r="60" spans="1:8" x14ac:dyDescent="0.3">
      <c r="A60" s="8">
        <v>59</v>
      </c>
      <c r="B60" s="7" t="s">
        <v>7</v>
      </c>
      <c r="C60" s="7">
        <v>173</v>
      </c>
      <c r="D60" s="7">
        <v>18</v>
      </c>
      <c r="E60" s="7">
        <v>76</v>
      </c>
      <c r="F60" s="7" t="s">
        <v>8</v>
      </c>
      <c r="G60" s="7" t="s">
        <v>24</v>
      </c>
      <c r="H60" s="7">
        <v>5</v>
      </c>
    </row>
    <row r="61" spans="1:8" x14ac:dyDescent="0.3">
      <c r="A61" s="8">
        <v>60</v>
      </c>
      <c r="B61" s="7" t="s">
        <v>13</v>
      </c>
      <c r="C61" s="7">
        <v>166</v>
      </c>
      <c r="D61" s="7">
        <v>19</v>
      </c>
      <c r="E61" s="7">
        <v>55</v>
      </c>
      <c r="F61" s="7" t="s">
        <v>8</v>
      </c>
      <c r="G61" s="7" t="s">
        <v>17</v>
      </c>
      <c r="H61" s="7">
        <v>5</v>
      </c>
    </row>
    <row r="62" spans="1:8" x14ac:dyDescent="0.3">
      <c r="A62" s="8">
        <v>61</v>
      </c>
      <c r="B62" s="7" t="s">
        <v>7</v>
      </c>
      <c r="C62" s="7">
        <v>174</v>
      </c>
      <c r="D62" s="7">
        <v>19</v>
      </c>
      <c r="E62" s="7">
        <v>67</v>
      </c>
      <c r="F62" s="7" t="s">
        <v>8</v>
      </c>
      <c r="G62" s="7" t="s">
        <v>10</v>
      </c>
      <c r="H62" s="7">
        <v>5</v>
      </c>
    </row>
    <row r="63" spans="1:8" x14ac:dyDescent="0.3">
      <c r="A63" s="8">
        <v>62</v>
      </c>
      <c r="B63" s="7" t="s">
        <v>7</v>
      </c>
      <c r="C63" s="7">
        <v>176</v>
      </c>
      <c r="D63" s="7">
        <v>19</v>
      </c>
      <c r="E63" s="7">
        <v>73</v>
      </c>
      <c r="F63" s="7" t="s">
        <v>8</v>
      </c>
      <c r="G63" s="7" t="s">
        <v>14</v>
      </c>
      <c r="H63" s="7">
        <v>4</v>
      </c>
    </row>
    <row r="64" spans="1:8" x14ac:dyDescent="0.3">
      <c r="A64" s="8">
        <v>63</v>
      </c>
      <c r="B64" s="7" t="s">
        <v>7</v>
      </c>
      <c r="C64" s="7">
        <v>175</v>
      </c>
      <c r="D64" s="7">
        <v>21</v>
      </c>
      <c r="E64" s="7">
        <v>70</v>
      </c>
      <c r="F64" s="7" t="s">
        <v>8</v>
      </c>
      <c r="G64" s="7" t="s">
        <v>10</v>
      </c>
      <c r="H64" s="7">
        <v>5</v>
      </c>
    </row>
    <row r="65" spans="1:8" x14ac:dyDescent="0.3">
      <c r="A65" s="8">
        <v>64</v>
      </c>
      <c r="B65" s="7" t="s">
        <v>7</v>
      </c>
      <c r="C65" s="7">
        <v>172</v>
      </c>
      <c r="D65" s="7">
        <v>23</v>
      </c>
      <c r="E65" s="7">
        <v>60</v>
      </c>
      <c r="F65" s="7" t="s">
        <v>8</v>
      </c>
      <c r="G65" s="7" t="s">
        <v>14</v>
      </c>
      <c r="H65" s="7">
        <v>5</v>
      </c>
    </row>
    <row r="66" spans="1:8" x14ac:dyDescent="0.3">
      <c r="A66" s="8">
        <v>65</v>
      </c>
      <c r="B66" s="7" t="s">
        <v>13</v>
      </c>
      <c r="C66" s="7">
        <v>161</v>
      </c>
      <c r="D66" s="7">
        <v>19</v>
      </c>
      <c r="E66" s="7">
        <v>63</v>
      </c>
      <c r="F66" s="7" t="s">
        <v>8</v>
      </c>
      <c r="G66" s="7" t="s">
        <v>9</v>
      </c>
      <c r="H66" s="7">
        <v>5</v>
      </c>
    </row>
    <row r="67" spans="1:8" x14ac:dyDescent="0.3">
      <c r="A67" s="8">
        <v>66</v>
      </c>
      <c r="B67" s="7" t="s">
        <v>7</v>
      </c>
      <c r="C67" s="7">
        <v>174</v>
      </c>
      <c r="D67" s="7">
        <v>18</v>
      </c>
      <c r="E67" s="7">
        <v>70</v>
      </c>
      <c r="F67" s="7" t="s">
        <v>8</v>
      </c>
      <c r="G67" s="7" t="s">
        <v>9</v>
      </c>
      <c r="H67" s="7">
        <v>4</v>
      </c>
    </row>
    <row r="68" spans="1:8" x14ac:dyDescent="0.3">
      <c r="A68" s="8">
        <v>67</v>
      </c>
      <c r="B68" s="7" t="s">
        <v>7</v>
      </c>
      <c r="C68" s="7">
        <v>186</v>
      </c>
      <c r="D68" s="7">
        <v>19</v>
      </c>
      <c r="E68" s="7">
        <v>65</v>
      </c>
      <c r="F68" s="7" t="s">
        <v>8</v>
      </c>
      <c r="G68" s="7" t="s">
        <v>11</v>
      </c>
      <c r="H68" s="7">
        <v>5</v>
      </c>
    </row>
    <row r="69" spans="1:8" x14ac:dyDescent="0.3">
      <c r="A69" s="8">
        <v>68</v>
      </c>
      <c r="B69" s="7" t="s">
        <v>7</v>
      </c>
      <c r="C69" s="7">
        <v>175</v>
      </c>
      <c r="D69" s="7">
        <v>18</v>
      </c>
      <c r="E69" s="7">
        <v>75</v>
      </c>
      <c r="F69" s="7" t="s">
        <v>8</v>
      </c>
      <c r="G69" s="7" t="s">
        <v>25</v>
      </c>
      <c r="H69" s="7">
        <v>5</v>
      </c>
    </row>
    <row r="70" spans="1:8" x14ac:dyDescent="0.3">
      <c r="A70" s="8">
        <v>69</v>
      </c>
      <c r="B70" s="7" t="s">
        <v>7</v>
      </c>
      <c r="C70" s="7">
        <v>168</v>
      </c>
      <c r="D70" s="7">
        <v>20</v>
      </c>
      <c r="E70" s="7">
        <v>80</v>
      </c>
      <c r="F70" s="7" t="s">
        <v>8</v>
      </c>
      <c r="G70" s="7" t="s">
        <v>14</v>
      </c>
      <c r="H70" s="7">
        <v>4</v>
      </c>
    </row>
    <row r="71" spans="1:8" x14ac:dyDescent="0.3">
      <c r="A71" s="8">
        <v>70</v>
      </c>
      <c r="B71" s="7" t="s">
        <v>7</v>
      </c>
      <c r="C71" s="7">
        <v>184</v>
      </c>
      <c r="D71" s="7">
        <v>18</v>
      </c>
      <c r="E71" s="7">
        <v>81</v>
      </c>
      <c r="F71" s="7" t="s">
        <v>8</v>
      </c>
      <c r="G71" s="7" t="s">
        <v>9</v>
      </c>
      <c r="H71" s="7">
        <v>4</v>
      </c>
    </row>
    <row r="72" spans="1:8" x14ac:dyDescent="0.3">
      <c r="A72" s="8">
        <v>71</v>
      </c>
      <c r="B72" s="7" t="s">
        <v>7</v>
      </c>
      <c r="C72" s="7">
        <v>170</v>
      </c>
      <c r="D72" s="7">
        <v>19</v>
      </c>
      <c r="E72" s="7">
        <v>64</v>
      </c>
      <c r="F72" s="7" t="s">
        <v>8</v>
      </c>
      <c r="G72" s="7" t="s">
        <v>9</v>
      </c>
      <c r="H72" s="7">
        <v>4</v>
      </c>
    </row>
    <row r="73" spans="1:8" x14ac:dyDescent="0.3">
      <c r="A73" s="8">
        <v>72</v>
      </c>
      <c r="B73" s="7" t="s">
        <v>7</v>
      </c>
      <c r="C73" s="7">
        <v>175</v>
      </c>
      <c r="D73" s="7">
        <v>19</v>
      </c>
      <c r="E73" s="7">
        <v>55</v>
      </c>
      <c r="F73" s="7" t="s">
        <v>8</v>
      </c>
      <c r="G73" s="7" t="s">
        <v>9</v>
      </c>
      <c r="H73" s="7">
        <v>5</v>
      </c>
    </row>
    <row r="74" spans="1:8" x14ac:dyDescent="0.3">
      <c r="A74" s="8">
        <v>73</v>
      </c>
      <c r="B74" s="7" t="s">
        <v>7</v>
      </c>
      <c r="C74" s="7">
        <v>171</v>
      </c>
      <c r="D74" s="7">
        <v>19</v>
      </c>
      <c r="E74" s="7">
        <v>74</v>
      </c>
      <c r="F74" s="7" t="s">
        <v>8</v>
      </c>
      <c r="G74" s="7" t="s">
        <v>11</v>
      </c>
      <c r="H74" s="7">
        <v>5</v>
      </c>
    </row>
    <row r="75" spans="1:8" x14ac:dyDescent="0.3">
      <c r="A75" s="8">
        <v>74</v>
      </c>
      <c r="B75" s="7" t="s">
        <v>13</v>
      </c>
      <c r="C75" s="7">
        <v>152</v>
      </c>
      <c r="D75" s="7">
        <v>19</v>
      </c>
      <c r="E75" s="7">
        <v>43</v>
      </c>
      <c r="F75" s="7" t="s">
        <v>8</v>
      </c>
      <c r="G75" s="7" t="s">
        <v>10</v>
      </c>
      <c r="H75" s="7">
        <v>5</v>
      </c>
    </row>
    <row r="76" spans="1:8" x14ac:dyDescent="0.3">
      <c r="A76" s="8">
        <v>75</v>
      </c>
      <c r="B76" s="7" t="s">
        <v>7</v>
      </c>
      <c r="C76" s="7">
        <v>177</v>
      </c>
      <c r="D76" s="7">
        <v>19</v>
      </c>
      <c r="E76" s="7">
        <v>72</v>
      </c>
      <c r="F76" s="7" t="s">
        <v>8</v>
      </c>
      <c r="G76" s="7" t="s">
        <v>9</v>
      </c>
      <c r="H76" s="7">
        <v>4</v>
      </c>
    </row>
    <row r="77" spans="1:8" x14ac:dyDescent="0.3">
      <c r="A77" s="8">
        <v>76</v>
      </c>
      <c r="B77" s="7" t="s">
        <v>7</v>
      </c>
      <c r="C77" s="7">
        <v>160</v>
      </c>
      <c r="D77" s="7">
        <v>29</v>
      </c>
      <c r="E77" s="7">
        <v>82</v>
      </c>
      <c r="F77" s="7" t="s">
        <v>8</v>
      </c>
      <c r="G77" s="7" t="s">
        <v>9</v>
      </c>
      <c r="H77" s="7">
        <v>4</v>
      </c>
    </row>
    <row r="78" spans="1:8" x14ac:dyDescent="0.3">
      <c r="A78" s="8">
        <v>77</v>
      </c>
      <c r="B78" s="7" t="s">
        <v>7</v>
      </c>
      <c r="C78" s="7">
        <v>180</v>
      </c>
      <c r="D78" s="7">
        <v>19</v>
      </c>
      <c r="E78" s="7">
        <v>83</v>
      </c>
      <c r="F78" s="7" t="s">
        <v>8</v>
      </c>
      <c r="G78" s="7" t="s">
        <v>14</v>
      </c>
      <c r="H78" s="7">
        <v>4</v>
      </c>
    </row>
    <row r="79" spans="1:8" x14ac:dyDescent="0.3">
      <c r="A79" s="8">
        <v>78</v>
      </c>
      <c r="B79" s="7" t="s">
        <v>7</v>
      </c>
      <c r="C79" s="7">
        <v>183</v>
      </c>
      <c r="D79" s="7">
        <v>19</v>
      </c>
      <c r="E79" s="7">
        <v>76</v>
      </c>
      <c r="F79" s="7" t="s">
        <v>8</v>
      </c>
      <c r="G79" s="7" t="s">
        <v>9</v>
      </c>
      <c r="H79" s="7">
        <v>4</v>
      </c>
    </row>
    <row r="80" spans="1:8" x14ac:dyDescent="0.3">
      <c r="A80" s="8">
        <v>79</v>
      </c>
      <c r="B80" s="7" t="s">
        <v>7</v>
      </c>
      <c r="C80" s="7">
        <v>173</v>
      </c>
      <c r="D80" s="7">
        <v>19</v>
      </c>
      <c r="E80" s="7">
        <v>58</v>
      </c>
      <c r="F80" s="7" t="s">
        <v>8</v>
      </c>
      <c r="G80" s="7" t="s">
        <v>14</v>
      </c>
      <c r="H80" s="7">
        <v>4</v>
      </c>
    </row>
    <row r="81" spans="1:8" x14ac:dyDescent="0.3">
      <c r="A81" s="8">
        <v>80</v>
      </c>
      <c r="B81" s="7" t="s">
        <v>7</v>
      </c>
      <c r="C81" s="7">
        <v>193</v>
      </c>
      <c r="D81" s="7">
        <v>29</v>
      </c>
      <c r="E81" s="7">
        <v>105</v>
      </c>
      <c r="F81" s="7" t="s">
        <v>8</v>
      </c>
      <c r="G81" s="7" t="s">
        <v>22</v>
      </c>
      <c r="H81" s="7">
        <v>5</v>
      </c>
    </row>
    <row r="82" spans="1:8" x14ac:dyDescent="0.3">
      <c r="A82" s="8">
        <v>81</v>
      </c>
      <c r="B82" s="7" t="s">
        <v>7</v>
      </c>
      <c r="C82" s="7">
        <v>200</v>
      </c>
      <c r="D82" s="7">
        <v>19</v>
      </c>
      <c r="E82" s="7">
        <v>90</v>
      </c>
      <c r="F82" s="7" t="s">
        <v>8</v>
      </c>
      <c r="G82" s="7" t="s">
        <v>10</v>
      </c>
      <c r="H82" s="7">
        <v>4</v>
      </c>
    </row>
    <row r="83" spans="1:8" x14ac:dyDescent="0.3">
      <c r="A83" s="8">
        <v>82</v>
      </c>
      <c r="B83" s="7" t="s">
        <v>13</v>
      </c>
      <c r="C83" s="7">
        <v>168</v>
      </c>
      <c r="D83" s="7">
        <v>18</v>
      </c>
      <c r="E83" s="7">
        <v>54</v>
      </c>
      <c r="F83" s="7" t="s">
        <v>8</v>
      </c>
      <c r="G83" s="7" t="s">
        <v>10</v>
      </c>
      <c r="H83" s="7">
        <v>5</v>
      </c>
    </row>
    <row r="84" spans="1:8" x14ac:dyDescent="0.3">
      <c r="A84" s="8">
        <v>83</v>
      </c>
      <c r="B84" s="7" t="s">
        <v>7</v>
      </c>
      <c r="C84" s="7">
        <v>187</v>
      </c>
      <c r="D84" s="7">
        <v>21</v>
      </c>
      <c r="E84" s="7">
        <v>73</v>
      </c>
      <c r="F84" s="7" t="s">
        <v>8</v>
      </c>
      <c r="G84" s="7" t="s">
        <v>9</v>
      </c>
      <c r="H84" s="7">
        <v>3</v>
      </c>
    </row>
    <row r="85" spans="1:8" x14ac:dyDescent="0.3">
      <c r="A85" s="8">
        <v>84</v>
      </c>
      <c r="B85" s="7" t="s">
        <v>7</v>
      </c>
      <c r="C85" s="7">
        <v>175</v>
      </c>
      <c r="D85" s="7">
        <v>19</v>
      </c>
      <c r="E85" s="7">
        <v>79</v>
      </c>
      <c r="F85" s="7" t="s">
        <v>8</v>
      </c>
      <c r="G85" s="7" t="s">
        <v>10</v>
      </c>
      <c r="H85" s="7">
        <v>4</v>
      </c>
    </row>
    <row r="86" spans="1:8" x14ac:dyDescent="0.3">
      <c r="A86" s="8">
        <v>85</v>
      </c>
      <c r="B86" s="7" t="s">
        <v>13</v>
      </c>
      <c r="C86" s="7">
        <v>163</v>
      </c>
      <c r="D86" s="7">
        <v>18</v>
      </c>
      <c r="E86" s="7">
        <v>58</v>
      </c>
      <c r="F86" s="7" t="s">
        <v>8</v>
      </c>
      <c r="G86" s="7" t="s">
        <v>9</v>
      </c>
      <c r="H86" s="7">
        <v>5</v>
      </c>
    </row>
    <row r="87" spans="1:8" x14ac:dyDescent="0.3">
      <c r="A87" s="8">
        <v>86</v>
      </c>
      <c r="B87" s="7" t="s">
        <v>7</v>
      </c>
      <c r="C87" s="7">
        <v>175</v>
      </c>
      <c r="D87" s="7">
        <v>19</v>
      </c>
      <c r="E87" s="7">
        <v>60</v>
      </c>
      <c r="F87" s="7" t="s">
        <v>8</v>
      </c>
      <c r="G87" s="7" t="s">
        <v>11</v>
      </c>
      <c r="H87" s="7">
        <v>5</v>
      </c>
    </row>
    <row r="88" spans="1:8" x14ac:dyDescent="0.3">
      <c r="A88" s="8">
        <v>87</v>
      </c>
      <c r="B88" s="7" t="s">
        <v>7</v>
      </c>
      <c r="C88" s="7">
        <v>173</v>
      </c>
      <c r="D88" s="7">
        <v>20</v>
      </c>
      <c r="E88" s="7">
        <v>70</v>
      </c>
      <c r="F88" s="7" t="s">
        <v>8</v>
      </c>
      <c r="G88" s="7" t="s">
        <v>20</v>
      </c>
      <c r="H88" s="7">
        <v>4</v>
      </c>
    </row>
    <row r="89" spans="1:8" x14ac:dyDescent="0.3">
      <c r="A89" s="8">
        <v>88</v>
      </c>
      <c r="B89" s="7" t="s">
        <v>7</v>
      </c>
      <c r="C89" s="7">
        <v>180</v>
      </c>
      <c r="D89" s="7">
        <v>18</v>
      </c>
      <c r="E89" s="7">
        <v>70</v>
      </c>
      <c r="F89" s="7" t="s">
        <v>8</v>
      </c>
      <c r="G89" s="7" t="s">
        <v>16</v>
      </c>
      <c r="H89" s="7">
        <v>5</v>
      </c>
    </row>
    <row r="90" spans="1:8" x14ac:dyDescent="0.3">
      <c r="A90" s="8">
        <v>89</v>
      </c>
      <c r="B90" s="7" t="s">
        <v>7</v>
      </c>
      <c r="C90" s="7">
        <v>169</v>
      </c>
      <c r="D90" s="7">
        <v>19</v>
      </c>
      <c r="E90" s="7">
        <v>57</v>
      </c>
      <c r="F90" s="7" t="s">
        <v>8</v>
      </c>
      <c r="G90" s="7" t="s">
        <v>11</v>
      </c>
      <c r="H90" s="7">
        <v>5</v>
      </c>
    </row>
    <row r="91" spans="1:8" x14ac:dyDescent="0.3">
      <c r="A91" s="8">
        <v>90</v>
      </c>
      <c r="B91" s="7" t="s">
        <v>7</v>
      </c>
      <c r="C91" s="7">
        <v>166</v>
      </c>
      <c r="D91" s="7">
        <v>19</v>
      </c>
      <c r="E91" s="7">
        <v>58</v>
      </c>
      <c r="F91" s="7" t="s">
        <v>8</v>
      </c>
      <c r="G91" s="7" t="s">
        <v>20</v>
      </c>
      <c r="H91" s="7">
        <v>5</v>
      </c>
    </row>
    <row r="92" spans="1:8" x14ac:dyDescent="0.3">
      <c r="A92" s="8">
        <v>91</v>
      </c>
      <c r="B92" s="7" t="s">
        <v>7</v>
      </c>
      <c r="C92" s="7">
        <v>170</v>
      </c>
      <c r="D92" s="7">
        <v>18</v>
      </c>
      <c r="E92" s="7">
        <v>60</v>
      </c>
      <c r="F92" s="7" t="s">
        <v>8</v>
      </c>
      <c r="G92" s="7" t="s">
        <v>14</v>
      </c>
      <c r="H92" s="7">
        <v>5</v>
      </c>
    </row>
    <row r="93" spans="1:8" x14ac:dyDescent="0.3">
      <c r="A93" s="8">
        <v>92</v>
      </c>
      <c r="B93" s="7" t="s">
        <v>13</v>
      </c>
      <c r="C93" s="7">
        <v>170</v>
      </c>
      <c r="D93" s="7">
        <v>18</v>
      </c>
      <c r="E93" s="7">
        <v>60</v>
      </c>
      <c r="F93" s="7" t="s">
        <v>8</v>
      </c>
      <c r="G93" s="7" t="s">
        <v>14</v>
      </c>
      <c r="H93" s="7">
        <v>3</v>
      </c>
    </row>
    <row r="94" spans="1:8" x14ac:dyDescent="0.3">
      <c r="A94" s="8">
        <v>93</v>
      </c>
      <c r="B94" s="7" t="s">
        <v>7</v>
      </c>
      <c r="C94" s="7">
        <v>176</v>
      </c>
      <c r="D94" s="7">
        <v>23</v>
      </c>
      <c r="E94" s="7">
        <v>85</v>
      </c>
      <c r="F94" s="7" t="s">
        <v>8</v>
      </c>
      <c r="G94" s="7" t="s">
        <v>26</v>
      </c>
      <c r="H94" s="7">
        <v>4</v>
      </c>
    </row>
    <row r="95" spans="1:8" x14ac:dyDescent="0.3">
      <c r="A95" s="8">
        <v>94</v>
      </c>
      <c r="B95" s="7" t="s">
        <v>7</v>
      </c>
      <c r="C95" s="7">
        <v>170</v>
      </c>
      <c r="D95" s="7">
        <v>20</v>
      </c>
      <c r="E95" s="7">
        <v>65</v>
      </c>
      <c r="F95" s="7" t="s">
        <v>8</v>
      </c>
      <c r="G95" s="7" t="s">
        <v>22</v>
      </c>
      <c r="H95" s="7">
        <v>4</v>
      </c>
    </row>
    <row r="96" spans="1:8" x14ac:dyDescent="0.3">
      <c r="A96" s="8">
        <v>95</v>
      </c>
      <c r="B96" s="7" t="s">
        <v>7</v>
      </c>
      <c r="C96" s="7">
        <v>169</v>
      </c>
      <c r="D96" s="7">
        <v>19</v>
      </c>
      <c r="E96" s="7">
        <v>60.8</v>
      </c>
      <c r="F96" s="7" t="s">
        <v>8</v>
      </c>
      <c r="G96" s="7" t="s">
        <v>14</v>
      </c>
      <c r="H96" s="7">
        <v>4</v>
      </c>
    </row>
    <row r="97" spans="1:8" x14ac:dyDescent="0.3">
      <c r="A97" s="8">
        <v>96</v>
      </c>
      <c r="B97" s="7" t="s">
        <v>7</v>
      </c>
      <c r="C97" s="7">
        <v>175</v>
      </c>
      <c r="D97" s="7">
        <v>18</v>
      </c>
      <c r="E97" s="7">
        <v>60</v>
      </c>
      <c r="F97" s="7" t="s">
        <v>8</v>
      </c>
      <c r="G97" s="7" t="s">
        <v>11</v>
      </c>
      <c r="H97" s="7">
        <v>5</v>
      </c>
    </row>
    <row r="98" spans="1:8" x14ac:dyDescent="0.3">
      <c r="A98" s="8">
        <v>97</v>
      </c>
      <c r="B98" s="7" t="s">
        <v>7</v>
      </c>
      <c r="C98" s="7">
        <v>185</v>
      </c>
      <c r="D98" s="7">
        <v>19</v>
      </c>
      <c r="E98" s="7">
        <v>85</v>
      </c>
      <c r="F98" s="7" t="s">
        <v>8</v>
      </c>
      <c r="G98" s="7" t="s">
        <v>11</v>
      </c>
      <c r="H98" s="7">
        <v>5</v>
      </c>
    </row>
    <row r="99" spans="1:8" x14ac:dyDescent="0.3">
      <c r="A99" s="8">
        <v>98</v>
      </c>
      <c r="B99" s="7" t="s">
        <v>7</v>
      </c>
      <c r="C99" s="7">
        <v>173</v>
      </c>
      <c r="D99" s="7">
        <v>19</v>
      </c>
      <c r="E99" s="7">
        <v>61</v>
      </c>
      <c r="F99" s="7" t="s">
        <v>8</v>
      </c>
      <c r="G99" s="7" t="s">
        <v>20</v>
      </c>
      <c r="H99" s="7">
        <v>3</v>
      </c>
    </row>
    <row r="100" spans="1:8" x14ac:dyDescent="0.3">
      <c r="A100" s="8">
        <v>99</v>
      </c>
      <c r="B100" s="7" t="s">
        <v>7</v>
      </c>
      <c r="C100" s="7">
        <v>180</v>
      </c>
      <c r="D100" s="7">
        <v>18</v>
      </c>
      <c r="E100" s="7">
        <v>70</v>
      </c>
      <c r="F100" s="7" t="s">
        <v>8</v>
      </c>
      <c r="G100" s="7" t="s">
        <v>14</v>
      </c>
      <c r="H100" s="7">
        <v>5</v>
      </c>
    </row>
    <row r="101" spans="1:8" x14ac:dyDescent="0.3">
      <c r="A101" s="8">
        <v>100</v>
      </c>
      <c r="B101" s="7" t="s">
        <v>13</v>
      </c>
      <c r="C101" s="7">
        <v>169</v>
      </c>
      <c r="D101" s="7">
        <v>19</v>
      </c>
      <c r="E101" s="7">
        <v>51</v>
      </c>
      <c r="F101" s="7" t="s">
        <v>8</v>
      </c>
      <c r="G101" s="7" t="s">
        <v>14</v>
      </c>
      <c r="H101" s="7">
        <v>4</v>
      </c>
    </row>
    <row r="102" spans="1:8" x14ac:dyDescent="0.3">
      <c r="A102" s="8">
        <v>101</v>
      </c>
      <c r="B102" s="7" t="s">
        <v>7</v>
      </c>
      <c r="C102" s="7">
        <v>175</v>
      </c>
      <c r="D102" s="7">
        <v>19</v>
      </c>
      <c r="E102" s="7">
        <v>90</v>
      </c>
      <c r="F102" s="7" t="s">
        <v>8</v>
      </c>
      <c r="G102" s="7" t="s">
        <v>19</v>
      </c>
      <c r="H102" s="7">
        <v>5</v>
      </c>
    </row>
    <row r="103" spans="1:8" x14ac:dyDescent="0.3">
      <c r="A103" s="8">
        <v>102</v>
      </c>
      <c r="B103" s="7" t="s">
        <v>7</v>
      </c>
      <c r="C103" s="7">
        <v>164</v>
      </c>
      <c r="D103" s="7">
        <v>19</v>
      </c>
      <c r="E103" s="7">
        <v>65</v>
      </c>
      <c r="F103" s="7" t="s">
        <v>8</v>
      </c>
      <c r="G103" s="7" t="s">
        <v>10</v>
      </c>
      <c r="H103" s="7">
        <v>4</v>
      </c>
    </row>
    <row r="104" spans="1:8" x14ac:dyDescent="0.3">
      <c r="A104" s="8">
        <v>103</v>
      </c>
      <c r="B104" s="7" t="s">
        <v>13</v>
      </c>
      <c r="C104" s="7">
        <v>165</v>
      </c>
      <c r="D104" s="7">
        <v>21</v>
      </c>
      <c r="E104" s="7">
        <v>69</v>
      </c>
      <c r="F104" s="7" t="s">
        <v>8</v>
      </c>
      <c r="G104" s="7" t="s">
        <v>9</v>
      </c>
      <c r="H104" s="7">
        <v>5</v>
      </c>
    </row>
    <row r="105" spans="1:8" x14ac:dyDescent="0.3">
      <c r="A105" s="8">
        <v>104</v>
      </c>
      <c r="B105" s="7" t="s">
        <v>7</v>
      </c>
      <c r="C105" s="7">
        <v>179</v>
      </c>
      <c r="D105" s="7">
        <v>18</v>
      </c>
      <c r="E105" s="7">
        <v>65</v>
      </c>
      <c r="F105" s="7" t="s">
        <v>8</v>
      </c>
      <c r="G105" s="7" t="s">
        <v>9</v>
      </c>
      <c r="H105" s="7">
        <v>5</v>
      </c>
    </row>
    <row r="106" spans="1:8" x14ac:dyDescent="0.3">
      <c r="A106" s="8">
        <v>105</v>
      </c>
      <c r="B106" s="7" t="s">
        <v>7</v>
      </c>
      <c r="C106" s="7">
        <v>173</v>
      </c>
      <c r="D106" s="7">
        <v>18</v>
      </c>
      <c r="E106" s="7">
        <v>75</v>
      </c>
      <c r="F106" s="7" t="s">
        <v>8</v>
      </c>
      <c r="G106" s="7" t="s">
        <v>17</v>
      </c>
      <c r="H106" s="7">
        <v>4</v>
      </c>
    </row>
    <row r="107" spans="1:8" x14ac:dyDescent="0.3">
      <c r="A107" s="8">
        <v>106</v>
      </c>
      <c r="B107" s="7" t="s">
        <v>7</v>
      </c>
      <c r="C107" s="7">
        <v>171</v>
      </c>
      <c r="D107" s="7">
        <v>19</v>
      </c>
      <c r="E107" s="7">
        <v>57</v>
      </c>
      <c r="F107" s="7" t="s">
        <v>8</v>
      </c>
      <c r="G107" s="7" t="s">
        <v>17</v>
      </c>
      <c r="H107" s="7">
        <v>5</v>
      </c>
    </row>
    <row r="108" spans="1:8" x14ac:dyDescent="0.3">
      <c r="A108" s="8">
        <v>107</v>
      </c>
      <c r="B108" s="7" t="s">
        <v>7</v>
      </c>
      <c r="C108" s="7">
        <v>173</v>
      </c>
      <c r="D108" s="7">
        <v>18</v>
      </c>
      <c r="E108" s="7">
        <v>57</v>
      </c>
      <c r="F108" s="7" t="s">
        <v>8</v>
      </c>
      <c r="G108" s="7" t="s">
        <v>10</v>
      </c>
      <c r="H108" s="7">
        <v>4</v>
      </c>
    </row>
    <row r="109" spans="1:8" x14ac:dyDescent="0.3">
      <c r="A109" s="8">
        <v>108</v>
      </c>
      <c r="B109" s="7" t="s">
        <v>13</v>
      </c>
      <c r="C109" s="7">
        <v>158</v>
      </c>
      <c r="D109" s="7">
        <v>19</v>
      </c>
      <c r="E109" s="7">
        <v>58</v>
      </c>
      <c r="F109" s="7" t="s">
        <v>8</v>
      </c>
      <c r="G109" s="7" t="s">
        <v>14</v>
      </c>
      <c r="H109" s="7">
        <v>5</v>
      </c>
    </row>
    <row r="110" spans="1:8" x14ac:dyDescent="0.3">
      <c r="A110" s="8">
        <v>109</v>
      </c>
      <c r="B110" s="7" t="s">
        <v>7</v>
      </c>
      <c r="C110" s="7">
        <v>187</v>
      </c>
      <c r="D110" s="7">
        <v>20</v>
      </c>
      <c r="E110" s="7">
        <v>70</v>
      </c>
      <c r="F110" s="7" t="s">
        <v>8</v>
      </c>
      <c r="G110" s="7" t="s">
        <v>9</v>
      </c>
      <c r="H110" s="7">
        <v>4</v>
      </c>
    </row>
    <row r="111" spans="1:8" x14ac:dyDescent="0.3">
      <c r="A111" s="8">
        <v>110</v>
      </c>
      <c r="B111" s="7" t="s">
        <v>13</v>
      </c>
      <c r="C111" s="7">
        <v>158</v>
      </c>
      <c r="D111" s="7">
        <v>27</v>
      </c>
      <c r="E111" s="7">
        <v>70</v>
      </c>
      <c r="F111" s="7" t="s">
        <v>8</v>
      </c>
      <c r="G111" s="7" t="s">
        <v>10</v>
      </c>
      <c r="H111" s="7">
        <v>5</v>
      </c>
    </row>
    <row r="112" spans="1:8" x14ac:dyDescent="0.3">
      <c r="A112" s="8">
        <v>111</v>
      </c>
      <c r="B112" s="7" t="s">
        <v>7</v>
      </c>
      <c r="C112" s="7">
        <v>166</v>
      </c>
      <c r="D112" s="7">
        <v>19</v>
      </c>
      <c r="E112" s="7">
        <v>59</v>
      </c>
      <c r="F112" s="7" t="s">
        <v>8</v>
      </c>
      <c r="G112" s="7" t="s">
        <v>14</v>
      </c>
      <c r="H112" s="7">
        <v>4</v>
      </c>
    </row>
    <row r="113" spans="1:8" x14ac:dyDescent="0.3">
      <c r="A113" s="8">
        <v>112</v>
      </c>
      <c r="B113" s="7" t="s">
        <v>7</v>
      </c>
      <c r="C113" s="7">
        <v>160</v>
      </c>
      <c r="D113" s="7">
        <v>20</v>
      </c>
      <c r="E113" s="7">
        <v>51</v>
      </c>
      <c r="F113" s="7" t="s">
        <v>8</v>
      </c>
      <c r="G113" s="7" t="s">
        <v>9</v>
      </c>
      <c r="H113" s="7">
        <v>4</v>
      </c>
    </row>
    <row r="114" spans="1:8" x14ac:dyDescent="0.3">
      <c r="A114" s="8">
        <v>113</v>
      </c>
      <c r="B114" s="7" t="s">
        <v>7</v>
      </c>
      <c r="C114" s="7">
        <v>175</v>
      </c>
      <c r="D114" s="7">
        <v>19</v>
      </c>
      <c r="E114" s="7">
        <v>70</v>
      </c>
      <c r="F114" s="7" t="s">
        <v>8</v>
      </c>
      <c r="G114" s="7" t="s">
        <v>14</v>
      </c>
      <c r="H114" s="7">
        <v>4</v>
      </c>
    </row>
    <row r="115" spans="1:8" x14ac:dyDescent="0.3">
      <c r="A115" s="8">
        <v>114</v>
      </c>
      <c r="B115" s="7" t="s">
        <v>7</v>
      </c>
      <c r="C115" s="7">
        <v>175</v>
      </c>
      <c r="D115" s="7">
        <v>18</v>
      </c>
      <c r="E115" s="7">
        <v>65</v>
      </c>
      <c r="F115" s="7" t="s">
        <v>8</v>
      </c>
      <c r="G115" s="7" t="s">
        <v>9</v>
      </c>
      <c r="H115" s="7">
        <v>4</v>
      </c>
    </row>
    <row r="116" spans="1:8" x14ac:dyDescent="0.3">
      <c r="A116" s="8">
        <v>115</v>
      </c>
      <c r="B116" s="7" t="s">
        <v>7</v>
      </c>
      <c r="C116" s="7">
        <v>180</v>
      </c>
      <c r="D116" s="7">
        <v>19</v>
      </c>
      <c r="E116" s="7">
        <v>70</v>
      </c>
      <c r="F116" s="7" t="s">
        <v>8</v>
      </c>
      <c r="G116" s="7" t="s">
        <v>10</v>
      </c>
      <c r="H116" s="7">
        <v>4</v>
      </c>
    </row>
    <row r="117" spans="1:8" x14ac:dyDescent="0.3">
      <c r="A117" s="8">
        <v>116</v>
      </c>
      <c r="B117" s="7" t="s">
        <v>7</v>
      </c>
      <c r="C117" s="7">
        <v>181</v>
      </c>
      <c r="D117" s="7">
        <v>18</v>
      </c>
      <c r="E117" s="7">
        <v>63</v>
      </c>
      <c r="F117" s="7" t="s">
        <v>8</v>
      </c>
      <c r="G117" s="7" t="s">
        <v>9</v>
      </c>
      <c r="H117" s="7">
        <v>5</v>
      </c>
    </row>
    <row r="118" spans="1:8" x14ac:dyDescent="0.3">
      <c r="A118" s="8">
        <v>117</v>
      </c>
      <c r="B118" s="7" t="s">
        <v>7</v>
      </c>
      <c r="C118" s="7">
        <v>179</v>
      </c>
      <c r="D118" s="7">
        <v>19</v>
      </c>
      <c r="E118" s="7">
        <v>68</v>
      </c>
      <c r="F118" s="7" t="s">
        <v>8</v>
      </c>
      <c r="G118" s="7" t="s">
        <v>16</v>
      </c>
      <c r="H118" s="7">
        <v>5</v>
      </c>
    </row>
    <row r="119" spans="1:8" x14ac:dyDescent="0.3">
      <c r="A119" s="8">
        <v>118</v>
      </c>
      <c r="B119" s="7" t="s">
        <v>13</v>
      </c>
      <c r="C119" s="7">
        <v>161</v>
      </c>
      <c r="D119" s="7">
        <v>22</v>
      </c>
      <c r="E119" s="7">
        <v>85</v>
      </c>
      <c r="F119" s="7" t="s">
        <v>8</v>
      </c>
      <c r="G119" s="7" t="s">
        <v>10</v>
      </c>
      <c r="H119" s="7">
        <v>5</v>
      </c>
    </row>
    <row r="120" spans="1:8" x14ac:dyDescent="0.3">
      <c r="A120" s="8">
        <v>119</v>
      </c>
      <c r="B120" s="7" t="s">
        <v>7</v>
      </c>
      <c r="C120" s="7">
        <v>184</v>
      </c>
      <c r="D120" s="7">
        <v>19</v>
      </c>
      <c r="E120" s="7">
        <v>84</v>
      </c>
      <c r="F120" s="7" t="s">
        <v>8</v>
      </c>
      <c r="G120" s="7" t="s">
        <v>10</v>
      </c>
      <c r="H120" s="7">
        <v>4</v>
      </c>
    </row>
    <row r="121" spans="1:8" x14ac:dyDescent="0.3">
      <c r="A121" s="8">
        <v>120</v>
      </c>
      <c r="B121" s="7" t="s">
        <v>7</v>
      </c>
      <c r="C121" s="7">
        <v>189</v>
      </c>
      <c r="D121" s="7">
        <v>19</v>
      </c>
      <c r="E121" s="7">
        <v>96</v>
      </c>
      <c r="F121" s="7" t="s">
        <v>8</v>
      </c>
      <c r="G121" s="7" t="s">
        <v>9</v>
      </c>
      <c r="H121" s="7">
        <v>3</v>
      </c>
    </row>
    <row r="122" spans="1:8" x14ac:dyDescent="0.3">
      <c r="A122" s="8">
        <v>121</v>
      </c>
      <c r="B122" s="7" t="s">
        <v>7</v>
      </c>
      <c r="C122" s="7">
        <v>175</v>
      </c>
      <c r="D122" s="7">
        <v>19</v>
      </c>
      <c r="E122" s="7">
        <v>73</v>
      </c>
      <c r="F122" s="7" t="s">
        <v>8</v>
      </c>
      <c r="G122" s="7" t="s">
        <v>20</v>
      </c>
      <c r="H122" s="7">
        <v>5</v>
      </c>
    </row>
    <row r="123" spans="1:8" x14ac:dyDescent="0.3">
      <c r="A123" s="8">
        <v>122</v>
      </c>
      <c r="B123" s="7" t="s">
        <v>7</v>
      </c>
      <c r="C123" s="7">
        <v>182</v>
      </c>
      <c r="D123" s="7">
        <v>19</v>
      </c>
      <c r="E123" s="7">
        <v>70</v>
      </c>
      <c r="F123" s="7" t="s">
        <v>8</v>
      </c>
      <c r="G123" s="7" t="s">
        <v>20</v>
      </c>
      <c r="H123" s="7">
        <v>4</v>
      </c>
    </row>
    <row r="124" spans="1:8" x14ac:dyDescent="0.3">
      <c r="A124" s="8">
        <v>123</v>
      </c>
      <c r="B124" s="7" t="s">
        <v>7</v>
      </c>
      <c r="C124" s="7">
        <v>178</v>
      </c>
      <c r="D124" s="7">
        <v>19</v>
      </c>
      <c r="E124" s="7">
        <v>73</v>
      </c>
      <c r="F124" s="7" t="s">
        <v>8</v>
      </c>
      <c r="G124" s="7" t="s">
        <v>14</v>
      </c>
      <c r="H124" s="7">
        <v>5</v>
      </c>
    </row>
    <row r="125" spans="1:8" x14ac:dyDescent="0.3">
      <c r="A125" s="8">
        <v>124</v>
      </c>
      <c r="B125" s="7" t="s">
        <v>7</v>
      </c>
      <c r="C125" s="7">
        <v>180</v>
      </c>
      <c r="D125" s="7">
        <v>18</v>
      </c>
      <c r="E125" s="7">
        <v>70</v>
      </c>
      <c r="F125" s="7" t="s">
        <v>8</v>
      </c>
      <c r="G125" s="7" t="s">
        <v>10</v>
      </c>
      <c r="H125" s="7">
        <v>4</v>
      </c>
    </row>
    <row r="126" spans="1:8" x14ac:dyDescent="0.3">
      <c r="A126" s="8">
        <v>125</v>
      </c>
      <c r="B126" s="7" t="s">
        <v>7</v>
      </c>
      <c r="C126" s="7">
        <v>188</v>
      </c>
      <c r="D126" s="7">
        <v>20</v>
      </c>
      <c r="E126" s="7">
        <v>92</v>
      </c>
      <c r="F126" s="7" t="s">
        <v>8</v>
      </c>
      <c r="G126" s="7" t="s">
        <v>14</v>
      </c>
      <c r="H126" s="7">
        <v>4</v>
      </c>
    </row>
    <row r="127" spans="1:8" x14ac:dyDescent="0.3">
      <c r="A127" s="8">
        <v>126</v>
      </c>
      <c r="B127" s="7" t="s">
        <v>7</v>
      </c>
      <c r="C127" s="7">
        <v>184</v>
      </c>
      <c r="D127" s="7">
        <v>19</v>
      </c>
      <c r="E127" s="7">
        <v>66</v>
      </c>
      <c r="F127" s="7" t="s">
        <v>8</v>
      </c>
      <c r="G127" s="7" t="s">
        <v>19</v>
      </c>
      <c r="H127" s="7">
        <v>5</v>
      </c>
    </row>
    <row r="128" spans="1:8" x14ac:dyDescent="0.3">
      <c r="A128" s="8">
        <v>127</v>
      </c>
      <c r="B128" s="7" t="s">
        <v>7</v>
      </c>
      <c r="C128" s="7">
        <v>185</v>
      </c>
      <c r="D128" s="7">
        <v>27</v>
      </c>
      <c r="E128" s="7">
        <v>120</v>
      </c>
      <c r="F128" s="7" t="s">
        <v>8</v>
      </c>
      <c r="G128" s="7" t="s">
        <v>10</v>
      </c>
      <c r="H128" s="7">
        <v>4</v>
      </c>
    </row>
    <row r="129" spans="1:8" x14ac:dyDescent="0.3">
      <c r="A129" s="8">
        <v>128</v>
      </c>
      <c r="B129" s="7" t="s">
        <v>7</v>
      </c>
      <c r="C129" s="7">
        <v>180</v>
      </c>
      <c r="D129" s="7">
        <v>18</v>
      </c>
      <c r="E129" s="7">
        <v>70</v>
      </c>
      <c r="F129" s="7" t="s">
        <v>8</v>
      </c>
      <c r="G129" s="7" t="s">
        <v>14</v>
      </c>
      <c r="H129" s="7">
        <v>4</v>
      </c>
    </row>
    <row r="130" spans="1:8" x14ac:dyDescent="0.3">
      <c r="A130" s="8">
        <v>129</v>
      </c>
      <c r="B130" s="7" t="s">
        <v>7</v>
      </c>
      <c r="C130" s="7">
        <v>196</v>
      </c>
      <c r="D130" s="7">
        <v>27</v>
      </c>
      <c r="E130" s="7">
        <v>115</v>
      </c>
      <c r="F130" s="7" t="s">
        <v>8</v>
      </c>
      <c r="G130" s="7" t="s">
        <v>10</v>
      </c>
      <c r="H130" s="7">
        <v>5</v>
      </c>
    </row>
    <row r="131" spans="1:8" x14ac:dyDescent="0.3">
      <c r="A131" s="8">
        <v>130</v>
      </c>
      <c r="B131" s="7" t="s">
        <v>7</v>
      </c>
      <c r="C131" s="7">
        <v>174</v>
      </c>
      <c r="D131" s="7">
        <v>19</v>
      </c>
      <c r="E131" s="7">
        <v>99</v>
      </c>
      <c r="F131" s="7" t="s">
        <v>8</v>
      </c>
      <c r="G131" s="7" t="s">
        <v>10</v>
      </c>
      <c r="H131" s="7">
        <v>4</v>
      </c>
    </row>
    <row r="132" spans="1:8" x14ac:dyDescent="0.3">
      <c r="A132" s="8">
        <v>131</v>
      </c>
      <c r="B132" s="7" t="s">
        <v>7</v>
      </c>
      <c r="C132" s="7">
        <v>185</v>
      </c>
      <c r="D132" s="7">
        <v>19</v>
      </c>
      <c r="E132" s="7">
        <v>83</v>
      </c>
      <c r="F132" s="7" t="s">
        <v>8</v>
      </c>
      <c r="G132" s="7" t="s">
        <v>22</v>
      </c>
      <c r="H132" s="7">
        <v>5</v>
      </c>
    </row>
    <row r="133" spans="1:8" x14ac:dyDescent="0.3">
      <c r="A133" s="8">
        <v>132</v>
      </c>
      <c r="B133" s="7" t="s">
        <v>7</v>
      </c>
      <c r="C133" s="7">
        <v>176</v>
      </c>
      <c r="D133" s="7">
        <v>30</v>
      </c>
      <c r="E133" s="7">
        <v>60</v>
      </c>
      <c r="F133" s="7" t="s">
        <v>8</v>
      </c>
      <c r="G133" s="7" t="s">
        <v>9</v>
      </c>
      <c r="H133" s="7">
        <v>5</v>
      </c>
    </row>
    <row r="134" spans="1:8" x14ac:dyDescent="0.3">
      <c r="A134" s="8">
        <v>133</v>
      </c>
      <c r="B134" s="7" t="s">
        <v>13</v>
      </c>
      <c r="C134" s="7">
        <v>172</v>
      </c>
      <c r="D134" s="7">
        <v>21</v>
      </c>
      <c r="E134" s="7">
        <v>60</v>
      </c>
      <c r="F134" s="7" t="s">
        <v>8</v>
      </c>
      <c r="G134" s="7" t="s">
        <v>9</v>
      </c>
      <c r="H134" s="7">
        <v>3</v>
      </c>
    </row>
    <row r="135" spans="1:8" x14ac:dyDescent="0.3">
      <c r="A135" s="8">
        <v>134</v>
      </c>
      <c r="B135" s="7" t="s">
        <v>7</v>
      </c>
      <c r="C135" s="7">
        <v>184</v>
      </c>
      <c r="D135" s="7">
        <v>19</v>
      </c>
      <c r="E135" s="7">
        <v>80</v>
      </c>
      <c r="F135" s="7" t="s">
        <v>8</v>
      </c>
      <c r="G135" s="7" t="s">
        <v>10</v>
      </c>
      <c r="H135" s="7">
        <v>5</v>
      </c>
    </row>
    <row r="136" spans="1:8" x14ac:dyDescent="0.3">
      <c r="A136" s="8">
        <v>135</v>
      </c>
      <c r="B136" s="7" t="s">
        <v>7</v>
      </c>
      <c r="C136" s="7">
        <v>178</v>
      </c>
      <c r="D136" s="7">
        <v>19</v>
      </c>
      <c r="E136" s="7">
        <v>100</v>
      </c>
      <c r="F136" s="7" t="s">
        <v>8</v>
      </c>
      <c r="G136" s="7" t="s">
        <v>9</v>
      </c>
      <c r="H136" s="7">
        <v>4</v>
      </c>
    </row>
    <row r="137" spans="1:8" x14ac:dyDescent="0.3">
      <c r="A137" s="8">
        <v>136</v>
      </c>
      <c r="B137" s="7" t="s">
        <v>7</v>
      </c>
      <c r="C137" s="7">
        <v>185</v>
      </c>
      <c r="D137" s="7">
        <v>21</v>
      </c>
      <c r="E137" s="7">
        <v>75</v>
      </c>
      <c r="F137" s="7" t="s">
        <v>8</v>
      </c>
      <c r="G137" s="7" t="s">
        <v>11</v>
      </c>
      <c r="H137" s="7">
        <v>5</v>
      </c>
    </row>
    <row r="138" spans="1:8" x14ac:dyDescent="0.3">
      <c r="A138" s="8">
        <v>137</v>
      </c>
      <c r="B138" s="7" t="s">
        <v>7</v>
      </c>
      <c r="C138" s="7">
        <v>187</v>
      </c>
      <c r="D138" s="7">
        <v>22</v>
      </c>
      <c r="E138" s="7">
        <v>95</v>
      </c>
      <c r="F138" s="7" t="s">
        <v>8</v>
      </c>
      <c r="G138" s="7" t="s">
        <v>22</v>
      </c>
      <c r="H138" s="7">
        <v>5</v>
      </c>
    </row>
    <row r="139" spans="1:8" x14ac:dyDescent="0.3">
      <c r="A139" s="8">
        <v>138</v>
      </c>
      <c r="B139" s="7" t="s">
        <v>7</v>
      </c>
      <c r="C139" s="7">
        <v>179</v>
      </c>
      <c r="D139" s="7">
        <v>22</v>
      </c>
      <c r="E139" s="7">
        <v>78</v>
      </c>
      <c r="F139" s="7" t="s">
        <v>8</v>
      </c>
      <c r="G139" s="7" t="s">
        <v>27</v>
      </c>
      <c r="H139" s="7">
        <v>4</v>
      </c>
    </row>
    <row r="140" spans="1:8" x14ac:dyDescent="0.3">
      <c r="A140" s="8">
        <v>139</v>
      </c>
      <c r="B140" s="7" t="s">
        <v>7</v>
      </c>
      <c r="C140" s="7">
        <v>172</v>
      </c>
      <c r="D140" s="7">
        <v>21</v>
      </c>
      <c r="E140" s="7">
        <v>55</v>
      </c>
      <c r="F140" s="7" t="s">
        <v>8</v>
      </c>
      <c r="G140" s="7" t="s">
        <v>10</v>
      </c>
      <c r="H140" s="7">
        <v>3</v>
      </c>
    </row>
    <row r="141" spans="1:8" x14ac:dyDescent="0.3">
      <c r="A141" s="8">
        <v>140</v>
      </c>
      <c r="B141" s="7" t="s">
        <v>7</v>
      </c>
      <c r="C141" s="7">
        <v>185</v>
      </c>
      <c r="D141" s="7">
        <v>18</v>
      </c>
      <c r="E141" s="7">
        <v>80</v>
      </c>
      <c r="F141" s="7" t="s">
        <v>8</v>
      </c>
      <c r="G141" s="7" t="s">
        <v>20</v>
      </c>
      <c r="H141" s="7">
        <v>4</v>
      </c>
    </row>
    <row r="142" spans="1:8" x14ac:dyDescent="0.3">
      <c r="A142" s="8">
        <v>141</v>
      </c>
      <c r="B142" s="7" t="s">
        <v>7</v>
      </c>
      <c r="C142" s="7">
        <v>182</v>
      </c>
      <c r="D142" s="7">
        <v>19</v>
      </c>
      <c r="E142" s="7">
        <v>80</v>
      </c>
      <c r="F142" s="7" t="s">
        <v>8</v>
      </c>
      <c r="G142" s="7" t="s">
        <v>10</v>
      </c>
      <c r="H142" s="7">
        <v>5</v>
      </c>
    </row>
    <row r="143" spans="1:8" x14ac:dyDescent="0.3">
      <c r="A143" s="8">
        <v>142</v>
      </c>
      <c r="B143" s="7" t="s">
        <v>7</v>
      </c>
      <c r="C143" s="7">
        <v>176</v>
      </c>
      <c r="D143" s="7">
        <v>19</v>
      </c>
      <c r="E143" s="7">
        <v>82</v>
      </c>
      <c r="F143" s="7" t="s">
        <v>8</v>
      </c>
      <c r="G143" s="7" t="s">
        <v>10</v>
      </c>
      <c r="H143" s="7">
        <v>4</v>
      </c>
    </row>
    <row r="144" spans="1:8" x14ac:dyDescent="0.3">
      <c r="A144" s="8">
        <v>143</v>
      </c>
      <c r="B144" s="7" t="s">
        <v>7</v>
      </c>
      <c r="C144" s="7">
        <v>193</v>
      </c>
      <c r="D144" s="7">
        <v>18</v>
      </c>
      <c r="E144" s="7">
        <v>82</v>
      </c>
      <c r="F144" s="7" t="s">
        <v>8</v>
      </c>
      <c r="G144" s="7" t="s">
        <v>14</v>
      </c>
      <c r="H144" s="7">
        <v>5</v>
      </c>
    </row>
    <row r="145" spans="1:8" x14ac:dyDescent="0.3">
      <c r="A145" s="8">
        <v>144</v>
      </c>
      <c r="B145" s="7" t="s">
        <v>7</v>
      </c>
      <c r="C145" s="7">
        <v>195</v>
      </c>
      <c r="D145" s="7">
        <v>18</v>
      </c>
      <c r="E145" s="7">
        <v>85</v>
      </c>
      <c r="F145" s="7" t="s">
        <v>8</v>
      </c>
      <c r="G145" s="7" t="s">
        <v>14</v>
      </c>
      <c r="H145" s="7">
        <v>5</v>
      </c>
    </row>
    <row r="146" spans="1:8" x14ac:dyDescent="0.3">
      <c r="A146" s="8">
        <v>145</v>
      </c>
      <c r="B146" s="7" t="s">
        <v>7</v>
      </c>
      <c r="C146" s="7">
        <v>180</v>
      </c>
      <c r="D146" s="7">
        <v>20</v>
      </c>
      <c r="E146" s="7">
        <v>71</v>
      </c>
      <c r="F146" s="7" t="s">
        <v>8</v>
      </c>
      <c r="G146" s="7" t="s">
        <v>10</v>
      </c>
      <c r="H146" s="7">
        <v>5</v>
      </c>
    </row>
    <row r="147" spans="1:8" x14ac:dyDescent="0.3">
      <c r="A147" s="8">
        <v>146</v>
      </c>
      <c r="B147" s="7" t="s">
        <v>13</v>
      </c>
      <c r="C147" s="7">
        <v>165</v>
      </c>
      <c r="D147" s="7">
        <v>19</v>
      </c>
      <c r="E147" s="7">
        <v>52</v>
      </c>
      <c r="F147" s="7" t="s">
        <v>8</v>
      </c>
      <c r="G147" s="7" t="s">
        <v>11</v>
      </c>
      <c r="H147" s="7">
        <v>4</v>
      </c>
    </row>
    <row r="148" spans="1:8" x14ac:dyDescent="0.3">
      <c r="A148" s="8">
        <v>147</v>
      </c>
      <c r="B148" s="7" t="s">
        <v>13</v>
      </c>
      <c r="C148" s="7">
        <v>165</v>
      </c>
      <c r="D148" s="7">
        <v>19</v>
      </c>
      <c r="E148" s="7">
        <v>52</v>
      </c>
      <c r="F148" s="7" t="s">
        <v>8</v>
      </c>
      <c r="G148" s="7" t="s">
        <v>11</v>
      </c>
      <c r="H148" s="7">
        <v>4</v>
      </c>
    </row>
    <row r="149" spans="1:8" x14ac:dyDescent="0.3">
      <c r="A149" s="8">
        <v>148</v>
      </c>
      <c r="B149" s="7" t="s">
        <v>7</v>
      </c>
      <c r="C149" s="7">
        <v>219</v>
      </c>
      <c r="D149" s="7">
        <v>19</v>
      </c>
      <c r="E149" s="7">
        <v>21</v>
      </c>
      <c r="F149" s="7" t="s">
        <v>28</v>
      </c>
    </row>
    <row r="150" spans="1:8" x14ac:dyDescent="0.3">
      <c r="A150" s="8">
        <v>149</v>
      </c>
      <c r="B150" s="7" t="s">
        <v>7</v>
      </c>
      <c r="C150" s="7">
        <v>167</v>
      </c>
      <c r="D150" s="7">
        <v>29</v>
      </c>
      <c r="E150" s="7">
        <v>56</v>
      </c>
      <c r="F150" s="7" t="s">
        <v>8</v>
      </c>
      <c r="G150" s="7" t="s">
        <v>9</v>
      </c>
      <c r="H150" s="7">
        <v>5</v>
      </c>
    </row>
    <row r="151" spans="1:8" x14ac:dyDescent="0.3">
      <c r="A151" s="8">
        <v>150</v>
      </c>
      <c r="B151" s="7" t="s">
        <v>13</v>
      </c>
      <c r="C151" s="7">
        <v>170</v>
      </c>
      <c r="D151" s="7">
        <v>21</v>
      </c>
      <c r="E151" s="7">
        <v>79</v>
      </c>
      <c r="F151" s="7" t="s">
        <v>8</v>
      </c>
      <c r="G151" s="7" t="s">
        <v>26</v>
      </c>
      <c r="H151" s="7">
        <v>5</v>
      </c>
    </row>
    <row r="152" spans="1:8" x14ac:dyDescent="0.3">
      <c r="A152" s="8">
        <v>151</v>
      </c>
      <c r="B152" s="7" t="s">
        <v>7</v>
      </c>
      <c r="C152" s="7">
        <v>178</v>
      </c>
      <c r="D152" s="7">
        <v>21</v>
      </c>
      <c r="E152" s="7">
        <v>66</v>
      </c>
      <c r="F152" s="7" t="s">
        <v>8</v>
      </c>
      <c r="G152" s="7" t="s">
        <v>11</v>
      </c>
      <c r="H152" s="7">
        <v>5</v>
      </c>
    </row>
    <row r="153" spans="1:8" x14ac:dyDescent="0.3">
      <c r="A153" s="8">
        <v>152</v>
      </c>
      <c r="B153" s="7" t="s">
        <v>13</v>
      </c>
      <c r="C153" s="7">
        <v>166</v>
      </c>
      <c r="D153" s="7">
        <v>18</v>
      </c>
      <c r="E153" s="7">
        <v>54</v>
      </c>
      <c r="F153" s="7" t="s">
        <v>8</v>
      </c>
      <c r="G153" s="7" t="s">
        <v>11</v>
      </c>
      <c r="H153" s="7">
        <v>5</v>
      </c>
    </row>
    <row r="154" spans="1:8" x14ac:dyDescent="0.3">
      <c r="A154" s="8">
        <v>153</v>
      </c>
      <c r="B154" s="7" t="s">
        <v>13</v>
      </c>
      <c r="C154" s="7">
        <v>170</v>
      </c>
      <c r="D154" s="7">
        <v>18</v>
      </c>
      <c r="E154" s="7">
        <v>60</v>
      </c>
      <c r="F154" s="7" t="s">
        <v>8</v>
      </c>
      <c r="G154" s="7" t="s">
        <v>14</v>
      </c>
      <c r="H154" s="7">
        <v>3</v>
      </c>
    </row>
    <row r="155" spans="1:8" x14ac:dyDescent="0.3">
      <c r="A155" s="8">
        <v>154</v>
      </c>
      <c r="B155" s="7" t="s">
        <v>13</v>
      </c>
      <c r="C155" s="7">
        <v>171</v>
      </c>
      <c r="D155" s="7">
        <v>19</v>
      </c>
      <c r="E155" s="7">
        <v>78</v>
      </c>
      <c r="F155" s="7" t="s">
        <v>8</v>
      </c>
      <c r="G155" s="7" t="s">
        <v>14</v>
      </c>
      <c r="H155" s="7">
        <v>4</v>
      </c>
    </row>
    <row r="156" spans="1:8" x14ac:dyDescent="0.3">
      <c r="A156" s="8">
        <v>155</v>
      </c>
      <c r="B156" s="7" t="s">
        <v>7</v>
      </c>
      <c r="C156" s="7">
        <v>183.5</v>
      </c>
      <c r="D156" s="7">
        <v>18</v>
      </c>
      <c r="E156" s="7">
        <v>69</v>
      </c>
      <c r="F156" s="7" t="s">
        <v>8</v>
      </c>
      <c r="G156" s="7" t="s">
        <v>29</v>
      </c>
      <c r="H156" s="7">
        <v>4</v>
      </c>
    </row>
    <row r="157" spans="1:8" x14ac:dyDescent="0.3">
      <c r="A157" s="8">
        <v>156</v>
      </c>
      <c r="B157" s="7" t="s">
        <v>7</v>
      </c>
      <c r="C157" s="7">
        <v>186</v>
      </c>
      <c r="D157" s="7">
        <v>21</v>
      </c>
      <c r="E157" s="7">
        <v>76</v>
      </c>
      <c r="F157" s="7" t="s">
        <v>8</v>
      </c>
      <c r="G157" s="7" t="s">
        <v>14</v>
      </c>
      <c r="H157" s="7">
        <v>4</v>
      </c>
    </row>
    <row r="158" spans="1:8" x14ac:dyDescent="0.3">
      <c r="A158" s="8">
        <v>157</v>
      </c>
      <c r="B158" s="7" t="s">
        <v>7</v>
      </c>
      <c r="C158" s="7">
        <v>185</v>
      </c>
      <c r="D158" s="7">
        <v>19</v>
      </c>
      <c r="E158" s="7">
        <v>88</v>
      </c>
      <c r="F158" s="7" t="s">
        <v>8</v>
      </c>
      <c r="G158" s="7" t="s">
        <v>14</v>
      </c>
      <c r="H158" s="7">
        <v>4</v>
      </c>
    </row>
    <row r="159" spans="1:8" x14ac:dyDescent="0.3">
      <c r="A159" s="8">
        <v>158</v>
      </c>
      <c r="B159" s="7" t="s">
        <v>13</v>
      </c>
      <c r="C159" s="7">
        <v>152</v>
      </c>
      <c r="D159" s="7">
        <v>18</v>
      </c>
      <c r="E159" s="7">
        <v>50</v>
      </c>
      <c r="F159" s="7" t="s">
        <v>8</v>
      </c>
      <c r="G159" s="7" t="s">
        <v>14</v>
      </c>
      <c r="H159" s="7">
        <v>5</v>
      </c>
    </row>
    <row r="160" spans="1:8" x14ac:dyDescent="0.3">
      <c r="A160" s="8">
        <v>159</v>
      </c>
      <c r="B160" s="7" t="s">
        <v>7</v>
      </c>
      <c r="C160" s="7">
        <v>162</v>
      </c>
      <c r="D160" s="7">
        <v>22</v>
      </c>
      <c r="E160" s="7">
        <v>50</v>
      </c>
      <c r="F160" s="7" t="s">
        <v>8</v>
      </c>
      <c r="G160" s="7" t="s">
        <v>9</v>
      </c>
      <c r="H160" s="7">
        <v>5</v>
      </c>
    </row>
    <row r="161" spans="1:8" x14ac:dyDescent="0.3">
      <c r="A161" s="8">
        <v>160</v>
      </c>
      <c r="B161" s="7" t="s">
        <v>30</v>
      </c>
      <c r="C161" s="7">
        <v>101</v>
      </c>
      <c r="D161" s="7">
        <v>18.73</v>
      </c>
      <c r="E161" s="7">
        <v>69.031146896400003</v>
      </c>
      <c r="F161" s="7" t="s">
        <v>8</v>
      </c>
      <c r="G161" s="7" t="s">
        <v>11</v>
      </c>
      <c r="H161" s="7">
        <v>5</v>
      </c>
    </row>
    <row r="162" spans="1:8" x14ac:dyDescent="0.3">
      <c r="A162" s="8">
        <v>161</v>
      </c>
      <c r="B162" s="7" t="s">
        <v>7</v>
      </c>
      <c r="C162" s="7">
        <v>160</v>
      </c>
      <c r="D162" s="7">
        <v>20</v>
      </c>
      <c r="E162" s="7">
        <v>55</v>
      </c>
      <c r="F162" s="7" t="s">
        <v>8</v>
      </c>
      <c r="G162" s="7" t="s">
        <v>10</v>
      </c>
      <c r="H162" s="7">
        <v>5</v>
      </c>
    </row>
    <row r="163" spans="1:8" x14ac:dyDescent="0.3">
      <c r="A163" s="8">
        <v>162</v>
      </c>
      <c r="B163" s="7" t="s">
        <v>7</v>
      </c>
      <c r="C163" s="7">
        <v>170</v>
      </c>
      <c r="D163" s="7">
        <v>20</v>
      </c>
      <c r="E163" s="7">
        <v>68</v>
      </c>
      <c r="F163" s="7" t="s">
        <v>8</v>
      </c>
      <c r="G163" s="7" t="s">
        <v>20</v>
      </c>
      <c r="H163" s="7">
        <v>4</v>
      </c>
    </row>
    <row r="164" spans="1:8" x14ac:dyDescent="0.3">
      <c r="A164" s="8">
        <v>163</v>
      </c>
      <c r="B164" s="7" t="s">
        <v>7</v>
      </c>
      <c r="C164" s="7">
        <v>169</v>
      </c>
      <c r="D164" s="7">
        <v>22</v>
      </c>
      <c r="E164" s="7">
        <v>90</v>
      </c>
      <c r="F164" s="7" t="s">
        <v>8</v>
      </c>
      <c r="G164" s="7" t="s">
        <v>14</v>
      </c>
      <c r="H164" s="7">
        <v>4</v>
      </c>
    </row>
    <row r="165" spans="1:8" x14ac:dyDescent="0.3">
      <c r="A165" s="8">
        <v>164</v>
      </c>
      <c r="B165" s="7" t="s">
        <v>7</v>
      </c>
      <c r="C165" s="7">
        <v>185</v>
      </c>
      <c r="D165" s="7">
        <v>20</v>
      </c>
      <c r="E165" s="7">
        <v>100</v>
      </c>
      <c r="F165" s="7" t="s">
        <v>8</v>
      </c>
      <c r="G165" s="7" t="s">
        <v>10</v>
      </c>
      <c r="H165" s="7">
        <v>5</v>
      </c>
    </row>
    <row r="166" spans="1:8" x14ac:dyDescent="0.3">
      <c r="A166" s="8">
        <v>165</v>
      </c>
      <c r="B166" s="7" t="s">
        <v>7</v>
      </c>
      <c r="C166" s="7">
        <v>180</v>
      </c>
      <c r="D166" s="7">
        <v>20</v>
      </c>
      <c r="E166" s="7">
        <v>75</v>
      </c>
      <c r="F166" s="7" t="s">
        <v>8</v>
      </c>
      <c r="G166" s="7" t="s">
        <v>9</v>
      </c>
      <c r="H166" s="7">
        <v>4</v>
      </c>
    </row>
    <row r="167" spans="1:8" x14ac:dyDescent="0.3">
      <c r="A167" s="8">
        <v>166</v>
      </c>
      <c r="B167" s="7" t="s">
        <v>31</v>
      </c>
      <c r="C167" s="7">
        <v>180</v>
      </c>
      <c r="D167" s="7">
        <v>19</v>
      </c>
      <c r="E167" s="7">
        <v>79</v>
      </c>
      <c r="F167" s="7" t="s">
        <v>8</v>
      </c>
      <c r="G167" s="7" t="s">
        <v>9</v>
      </c>
      <c r="H167" s="7">
        <v>1</v>
      </c>
    </row>
    <row r="168" spans="1:8" x14ac:dyDescent="0.3">
      <c r="A168" s="8">
        <v>167</v>
      </c>
      <c r="B168" s="7" t="s">
        <v>31</v>
      </c>
      <c r="C168" s="7">
        <v>178</v>
      </c>
      <c r="D168" s="7">
        <v>19</v>
      </c>
      <c r="E168" s="7">
        <v>70</v>
      </c>
      <c r="F168" s="7" t="s">
        <v>8</v>
      </c>
      <c r="G168" s="7" t="s">
        <v>9</v>
      </c>
      <c r="H168" s="7">
        <v>1</v>
      </c>
    </row>
    <row r="169" spans="1:8" x14ac:dyDescent="0.3">
      <c r="A169" s="8">
        <v>168</v>
      </c>
      <c r="B169" s="7" t="s">
        <v>7</v>
      </c>
      <c r="C169" s="7">
        <v>185</v>
      </c>
      <c r="D169" s="7">
        <v>18</v>
      </c>
      <c r="E169" s="7">
        <v>79</v>
      </c>
      <c r="F169" s="7" t="s">
        <v>8</v>
      </c>
      <c r="G169" s="7" t="s">
        <v>9</v>
      </c>
      <c r="H169" s="7">
        <v>4</v>
      </c>
    </row>
    <row r="170" spans="1:8" x14ac:dyDescent="0.3">
      <c r="A170" s="8">
        <v>169</v>
      </c>
      <c r="B170" s="7" t="s">
        <v>13</v>
      </c>
      <c r="C170" s="7">
        <v>163</v>
      </c>
      <c r="D170" s="7">
        <v>19</v>
      </c>
      <c r="E170" s="7">
        <v>54</v>
      </c>
      <c r="F170" s="7" t="s">
        <v>8</v>
      </c>
      <c r="G170" s="7" t="s">
        <v>11</v>
      </c>
      <c r="H170" s="7">
        <v>3</v>
      </c>
    </row>
    <row r="171" spans="1:8" x14ac:dyDescent="0.3">
      <c r="A171" s="8">
        <v>170</v>
      </c>
      <c r="B171" s="7" t="s">
        <v>13</v>
      </c>
      <c r="C171" s="7">
        <v>161</v>
      </c>
      <c r="D171" s="7">
        <v>19</v>
      </c>
      <c r="E171" s="7">
        <v>52</v>
      </c>
      <c r="F171" s="7" t="s">
        <v>8</v>
      </c>
      <c r="G171" s="7" t="s">
        <v>14</v>
      </c>
      <c r="H171" s="7">
        <v>3</v>
      </c>
    </row>
    <row r="172" spans="1:8" x14ac:dyDescent="0.3">
      <c r="A172" s="8">
        <v>171</v>
      </c>
      <c r="B172" s="7" t="s">
        <v>7</v>
      </c>
      <c r="C172" s="7">
        <v>180</v>
      </c>
      <c r="D172" s="7">
        <v>20</v>
      </c>
      <c r="E172" s="7">
        <v>63</v>
      </c>
      <c r="F172" s="7" t="s">
        <v>8</v>
      </c>
      <c r="G172" s="7" t="s">
        <v>9</v>
      </c>
      <c r="H172" s="7">
        <v>3</v>
      </c>
    </row>
    <row r="173" spans="1:8" x14ac:dyDescent="0.3">
      <c r="A173" s="8">
        <v>172</v>
      </c>
      <c r="B173" s="7" t="s">
        <v>7</v>
      </c>
      <c r="C173" s="7">
        <v>186</v>
      </c>
      <c r="D173" s="7">
        <v>18</v>
      </c>
      <c r="E173" s="7">
        <v>105</v>
      </c>
      <c r="F173" s="7" t="s">
        <v>8</v>
      </c>
      <c r="G173" s="7" t="s">
        <v>16</v>
      </c>
      <c r="H173" s="7">
        <v>5</v>
      </c>
    </row>
    <row r="174" spans="1:8" x14ac:dyDescent="0.3">
      <c r="A174" s="8">
        <v>173</v>
      </c>
      <c r="B174" s="7" t="s">
        <v>7</v>
      </c>
      <c r="C174" s="7">
        <v>185</v>
      </c>
      <c r="D174" s="7">
        <v>22</v>
      </c>
      <c r="E174" s="7">
        <v>75</v>
      </c>
      <c r="F174" s="7" t="s">
        <v>8</v>
      </c>
      <c r="G174" s="7" t="s">
        <v>11</v>
      </c>
      <c r="H174" s="7">
        <v>5</v>
      </c>
    </row>
    <row r="175" spans="1:8" x14ac:dyDescent="0.3">
      <c r="A175" s="8">
        <v>174</v>
      </c>
      <c r="B175" s="7" t="s">
        <v>13</v>
      </c>
      <c r="C175" s="7">
        <v>169</v>
      </c>
      <c r="D175" s="7">
        <v>19</v>
      </c>
      <c r="E175" s="7">
        <v>68</v>
      </c>
      <c r="F175" s="7" t="s">
        <v>8</v>
      </c>
      <c r="G175" s="7" t="s">
        <v>10</v>
      </c>
      <c r="H175" s="7">
        <v>5</v>
      </c>
    </row>
    <row r="176" spans="1:8" x14ac:dyDescent="0.3">
      <c r="A176" s="8">
        <v>175</v>
      </c>
      <c r="B176" s="7" t="s">
        <v>7</v>
      </c>
      <c r="C176" s="7">
        <v>176</v>
      </c>
      <c r="D176" s="7">
        <v>19</v>
      </c>
      <c r="E176" s="7">
        <v>73</v>
      </c>
      <c r="F176" s="7" t="s">
        <v>8</v>
      </c>
      <c r="G176" s="7" t="s">
        <v>14</v>
      </c>
      <c r="H176" s="7">
        <v>5</v>
      </c>
    </row>
    <row r="177" spans="1:8" x14ac:dyDescent="0.3">
      <c r="A177" s="8">
        <v>176</v>
      </c>
      <c r="B177" s="7" t="s">
        <v>7</v>
      </c>
      <c r="C177" s="7">
        <v>174</v>
      </c>
      <c r="D177" s="7">
        <v>19</v>
      </c>
      <c r="E177" s="7">
        <v>72</v>
      </c>
      <c r="F177" s="7" t="s">
        <v>8</v>
      </c>
      <c r="G177" s="7" t="s">
        <v>16</v>
      </c>
      <c r="H177" s="7">
        <v>4</v>
      </c>
    </row>
    <row r="178" spans="1:8" x14ac:dyDescent="0.3">
      <c r="A178" s="8">
        <v>177</v>
      </c>
      <c r="B178" s="7" t="s">
        <v>7</v>
      </c>
      <c r="C178" s="7">
        <v>175</v>
      </c>
      <c r="D178" s="7">
        <v>19</v>
      </c>
      <c r="E178" s="7">
        <v>64</v>
      </c>
      <c r="F178" s="7" t="s">
        <v>8</v>
      </c>
      <c r="G178" s="7" t="s">
        <v>9</v>
      </c>
      <c r="H178" s="7">
        <v>4</v>
      </c>
    </row>
    <row r="179" spans="1:8" x14ac:dyDescent="0.3">
      <c r="A179" s="8">
        <v>178</v>
      </c>
      <c r="B179" s="7" t="s">
        <v>7</v>
      </c>
      <c r="C179" s="7">
        <v>196</v>
      </c>
      <c r="D179" s="7">
        <v>18</v>
      </c>
      <c r="E179" s="7">
        <v>85</v>
      </c>
      <c r="F179" s="7" t="s">
        <v>8</v>
      </c>
      <c r="G179" s="7" t="s">
        <v>14</v>
      </c>
      <c r="H179" s="7">
        <v>5</v>
      </c>
    </row>
    <row r="180" spans="1:8" x14ac:dyDescent="0.3">
      <c r="A180" s="8">
        <v>179</v>
      </c>
      <c r="B180" s="7" t="s">
        <v>7</v>
      </c>
      <c r="C180" s="7">
        <v>195</v>
      </c>
      <c r="D180" s="7">
        <v>18</v>
      </c>
      <c r="E180" s="7">
        <v>85</v>
      </c>
      <c r="F180" s="7" t="s">
        <v>8</v>
      </c>
      <c r="G180" s="7" t="s">
        <v>14</v>
      </c>
      <c r="H180" s="7">
        <v>5</v>
      </c>
    </row>
    <row r="181" spans="1:8" x14ac:dyDescent="0.3">
      <c r="A181" s="8">
        <v>180</v>
      </c>
      <c r="B181" s="7" t="s">
        <v>7</v>
      </c>
      <c r="C181" s="7">
        <v>190</v>
      </c>
      <c r="D181" s="7">
        <v>20</v>
      </c>
      <c r="E181" s="7">
        <v>70</v>
      </c>
      <c r="F181" s="7" t="s">
        <v>8</v>
      </c>
      <c r="G181" s="7" t="s">
        <v>14</v>
      </c>
      <c r="H181" s="7">
        <v>4</v>
      </c>
    </row>
    <row r="182" spans="1:8" x14ac:dyDescent="0.3">
      <c r="A182" s="8">
        <v>181</v>
      </c>
      <c r="B182" s="7" t="s">
        <v>7</v>
      </c>
      <c r="C182" s="7">
        <v>178</v>
      </c>
      <c r="D182" s="7">
        <v>19</v>
      </c>
      <c r="E182" s="7">
        <v>51</v>
      </c>
      <c r="F182" s="7" t="s">
        <v>8</v>
      </c>
      <c r="G182" s="7" t="s">
        <v>11</v>
      </c>
      <c r="H182" s="7">
        <v>5</v>
      </c>
    </row>
    <row r="183" spans="1:8" x14ac:dyDescent="0.3">
      <c r="A183" s="8">
        <v>182</v>
      </c>
      <c r="B183" s="7" t="s">
        <v>7</v>
      </c>
      <c r="C183" s="7">
        <v>170</v>
      </c>
      <c r="D183" s="7">
        <v>19</v>
      </c>
      <c r="E183" s="7">
        <v>75</v>
      </c>
      <c r="F183" s="7" t="s">
        <v>8</v>
      </c>
      <c r="G183" s="7" t="s">
        <v>14</v>
      </c>
      <c r="H183" s="7">
        <v>4</v>
      </c>
    </row>
    <row r="184" spans="1:8" x14ac:dyDescent="0.3">
      <c r="A184" s="8">
        <v>183</v>
      </c>
      <c r="B184" s="7" t="s">
        <v>7</v>
      </c>
      <c r="C184" s="7">
        <v>175</v>
      </c>
      <c r="D184" s="7">
        <v>29</v>
      </c>
      <c r="E184" s="7">
        <v>65</v>
      </c>
      <c r="F184" s="7" t="s">
        <v>8</v>
      </c>
      <c r="G184" s="7" t="s">
        <v>9</v>
      </c>
      <c r="H184" s="7">
        <v>5</v>
      </c>
    </row>
    <row r="185" spans="1:8" x14ac:dyDescent="0.3">
      <c r="A185" s="8">
        <v>184</v>
      </c>
      <c r="B185" s="7" t="s">
        <v>13</v>
      </c>
      <c r="C185" s="7">
        <v>164</v>
      </c>
      <c r="D185" s="7">
        <v>19</v>
      </c>
      <c r="E185" s="7">
        <v>53</v>
      </c>
      <c r="F185" s="7" t="s">
        <v>8</v>
      </c>
      <c r="G185" s="7" t="s">
        <v>11</v>
      </c>
      <c r="H185" s="7">
        <v>4</v>
      </c>
    </row>
    <row r="186" spans="1:8" x14ac:dyDescent="0.3">
      <c r="A186" s="8">
        <v>185</v>
      </c>
      <c r="B186" s="7" t="s">
        <v>7</v>
      </c>
      <c r="C186" s="7">
        <v>180</v>
      </c>
      <c r="D186" s="7">
        <v>20</v>
      </c>
      <c r="E186" s="7">
        <v>72</v>
      </c>
      <c r="F186" s="7" t="s">
        <v>8</v>
      </c>
      <c r="G186" s="7" t="s">
        <v>19</v>
      </c>
      <c r="H186" s="7">
        <v>5</v>
      </c>
    </row>
    <row r="187" spans="1:8" x14ac:dyDescent="0.3">
      <c r="A187" s="8">
        <v>186</v>
      </c>
      <c r="B187" s="7" t="s">
        <v>13</v>
      </c>
      <c r="C187" s="7">
        <v>170</v>
      </c>
      <c r="D187" s="7">
        <v>18</v>
      </c>
      <c r="E187" s="7">
        <v>64</v>
      </c>
      <c r="F187" s="7" t="s">
        <v>8</v>
      </c>
      <c r="G187" s="7" t="s">
        <v>14</v>
      </c>
      <c r="H187" s="7">
        <v>5</v>
      </c>
    </row>
    <row r="188" spans="1:8" x14ac:dyDescent="0.3">
      <c r="A188" s="8">
        <v>187</v>
      </c>
      <c r="B188" s="7" t="s">
        <v>7</v>
      </c>
      <c r="C188" s="7">
        <v>180</v>
      </c>
      <c r="D188" s="7">
        <v>18</v>
      </c>
      <c r="E188" s="7">
        <v>72</v>
      </c>
      <c r="F188" s="7" t="s">
        <v>8</v>
      </c>
      <c r="G188" s="7" t="s">
        <v>16</v>
      </c>
      <c r="H188" s="7">
        <v>4</v>
      </c>
    </row>
    <row r="189" spans="1:8" x14ac:dyDescent="0.3">
      <c r="A189" s="8">
        <v>188</v>
      </c>
      <c r="B189" s="7" t="s">
        <v>7</v>
      </c>
      <c r="C189" s="7">
        <v>180</v>
      </c>
      <c r="D189" s="7">
        <v>21</v>
      </c>
      <c r="E189" s="7">
        <v>98</v>
      </c>
      <c r="F189" s="7" t="s">
        <v>8</v>
      </c>
      <c r="G189" s="7" t="s">
        <v>14</v>
      </c>
      <c r="H189" s="7">
        <v>3</v>
      </c>
    </row>
    <row r="190" spans="1:8" x14ac:dyDescent="0.3">
      <c r="A190" s="8">
        <v>189</v>
      </c>
      <c r="B190" s="7" t="s">
        <v>7</v>
      </c>
      <c r="C190" s="7">
        <v>180</v>
      </c>
      <c r="D190" s="7">
        <v>22</v>
      </c>
      <c r="E190" s="7">
        <v>60</v>
      </c>
      <c r="F190" s="7" t="s">
        <v>8</v>
      </c>
      <c r="G190" s="7" t="s">
        <v>9</v>
      </c>
      <c r="H190" s="7">
        <v>3</v>
      </c>
    </row>
    <row r="191" spans="1:8" x14ac:dyDescent="0.3">
      <c r="A191" s="8">
        <v>190</v>
      </c>
      <c r="B191" s="7" t="s">
        <v>7</v>
      </c>
      <c r="C191" s="7">
        <v>180</v>
      </c>
      <c r="D191" s="7">
        <v>21</v>
      </c>
      <c r="E191" s="7">
        <v>87</v>
      </c>
      <c r="F191" s="7" t="s">
        <v>8</v>
      </c>
      <c r="G191" s="7" t="s">
        <v>9</v>
      </c>
      <c r="H191" s="7">
        <v>5</v>
      </c>
    </row>
    <row r="192" spans="1:8" x14ac:dyDescent="0.3">
      <c r="A192" s="8">
        <v>191</v>
      </c>
      <c r="B192" s="7" t="s">
        <v>7</v>
      </c>
      <c r="C192" s="7">
        <v>188</v>
      </c>
      <c r="D192" s="7">
        <v>20</v>
      </c>
      <c r="E192" s="7">
        <v>95</v>
      </c>
      <c r="F192" s="7" t="s">
        <v>8</v>
      </c>
      <c r="G192" s="7" t="s">
        <v>14</v>
      </c>
      <c r="H192" s="7">
        <v>4</v>
      </c>
    </row>
    <row r="193" spans="1:8" x14ac:dyDescent="0.3">
      <c r="A193" s="8">
        <v>192</v>
      </c>
      <c r="B193" s="7" t="s">
        <v>7</v>
      </c>
      <c r="C193" s="7">
        <v>176</v>
      </c>
      <c r="D193" s="7">
        <v>19</v>
      </c>
      <c r="E193" s="7">
        <v>70</v>
      </c>
      <c r="F193" s="7" t="s">
        <v>8</v>
      </c>
      <c r="G193" s="7" t="s">
        <v>14</v>
      </c>
      <c r="H193" s="7">
        <v>5</v>
      </c>
    </row>
    <row r="194" spans="1:8" x14ac:dyDescent="0.3">
      <c r="A194" s="8">
        <v>193</v>
      </c>
      <c r="B194" s="7" t="s">
        <v>7</v>
      </c>
      <c r="C194" s="7">
        <v>163</v>
      </c>
      <c r="D194" s="7">
        <v>20</v>
      </c>
      <c r="E194" s="7">
        <v>52.5</v>
      </c>
      <c r="F194" s="7" t="s">
        <v>8</v>
      </c>
      <c r="G194" s="7" t="s">
        <v>11</v>
      </c>
      <c r="H194" s="7">
        <v>5</v>
      </c>
    </row>
    <row r="195" spans="1:8" x14ac:dyDescent="0.3">
      <c r="A195" s="8">
        <v>194</v>
      </c>
      <c r="B195" s="7" t="s">
        <v>31</v>
      </c>
      <c r="C195" s="7">
        <v>200</v>
      </c>
      <c r="D195" s="7">
        <v>22</v>
      </c>
      <c r="E195" s="7">
        <v>90</v>
      </c>
      <c r="F195" s="7" t="s">
        <v>8</v>
      </c>
      <c r="G195" s="7" t="s">
        <v>11</v>
      </c>
      <c r="H195" s="7">
        <v>5</v>
      </c>
    </row>
    <row r="196" spans="1:8" x14ac:dyDescent="0.3">
      <c r="A196" s="8">
        <v>195</v>
      </c>
      <c r="B196" s="7" t="s">
        <v>7</v>
      </c>
      <c r="C196" s="7">
        <v>184</v>
      </c>
      <c r="D196" s="7">
        <v>19</v>
      </c>
      <c r="E196" s="7">
        <v>74</v>
      </c>
      <c r="F196" s="7" t="s">
        <v>8</v>
      </c>
      <c r="G196" s="7" t="s">
        <v>9</v>
      </c>
      <c r="H196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76F4-47C4-4CFF-B7A6-D15919D2E022}">
  <dimension ref="B2:P45"/>
  <sheetViews>
    <sheetView tabSelected="1" zoomScale="48" zoomScaleNormal="70" workbookViewId="0">
      <selection activeCell="E35" sqref="E35"/>
    </sheetView>
  </sheetViews>
  <sheetFormatPr defaultRowHeight="14.4" x14ac:dyDescent="0.3"/>
  <cols>
    <col min="1" max="1" width="3" customWidth="1"/>
    <col min="2" max="2" width="21.44140625" customWidth="1"/>
    <col min="3" max="3" width="19.21875" customWidth="1"/>
    <col min="4" max="4" width="25.33203125" customWidth="1"/>
    <col min="5" max="5" width="15.33203125" customWidth="1"/>
    <col min="6" max="6" width="13.5546875" customWidth="1"/>
    <col min="7" max="7" width="15.88671875" customWidth="1"/>
    <col min="8" max="8" width="22.77734375" customWidth="1"/>
    <col min="9" max="9" width="25.44140625" customWidth="1"/>
    <col min="10" max="10" width="18" customWidth="1"/>
    <col min="11" max="11" width="30.21875" customWidth="1"/>
    <col min="12" max="12" width="46.88671875" customWidth="1"/>
    <col min="13" max="13" width="39.77734375" customWidth="1"/>
    <col min="14" max="14" width="30.88671875" customWidth="1"/>
    <col min="15" max="16" width="41.5546875" customWidth="1"/>
    <col min="17" max="17" width="28.6640625" customWidth="1"/>
  </cols>
  <sheetData>
    <row r="2" spans="2:16" ht="37.799999999999997" customHeight="1" x14ac:dyDescent="0.3">
      <c r="B2" s="20" t="s">
        <v>41</v>
      </c>
      <c r="C2" s="40" t="s">
        <v>37</v>
      </c>
      <c r="D2" s="41" t="s">
        <v>0</v>
      </c>
      <c r="E2" s="42"/>
      <c r="F2" s="42"/>
      <c r="G2" s="41" t="s">
        <v>1</v>
      </c>
      <c r="H2" s="41" t="s">
        <v>48</v>
      </c>
      <c r="I2" s="41" t="s">
        <v>49</v>
      </c>
      <c r="J2" s="42"/>
      <c r="K2" s="41" t="s">
        <v>4</v>
      </c>
      <c r="L2" s="43" t="s">
        <v>45</v>
      </c>
      <c r="M2" s="41" t="s">
        <v>5</v>
      </c>
    </row>
    <row r="3" spans="2:16" ht="15.6" x14ac:dyDescent="0.3">
      <c r="B3" s="14">
        <f ca="1">RAND()</f>
        <v>0.93351840750586579</v>
      </c>
      <c r="C3" s="4">
        <v>1</v>
      </c>
      <c r="D3" s="13" t="s">
        <v>7</v>
      </c>
      <c r="G3" s="13">
        <v>187</v>
      </c>
      <c r="H3" s="13">
        <v>21</v>
      </c>
      <c r="I3" s="13">
        <v>73</v>
      </c>
      <c r="K3" s="13" t="s">
        <v>8</v>
      </c>
      <c r="L3" s="13">
        <v>2</v>
      </c>
      <c r="M3" s="13" t="s">
        <v>9</v>
      </c>
    </row>
    <row r="4" spans="2:16" ht="15.6" x14ac:dyDescent="0.3">
      <c r="B4" s="14">
        <f ca="1">RAND()</f>
        <v>0.46710053033012677</v>
      </c>
      <c r="C4" s="4">
        <v>59</v>
      </c>
      <c r="D4" s="13" t="s">
        <v>7</v>
      </c>
      <c r="G4" s="13">
        <v>173</v>
      </c>
      <c r="H4" s="13">
        <v>18</v>
      </c>
      <c r="I4" s="13">
        <v>76</v>
      </c>
      <c r="K4" s="13" t="s">
        <v>8</v>
      </c>
      <c r="L4" s="13">
        <v>5</v>
      </c>
      <c r="M4" s="13" t="s">
        <v>24</v>
      </c>
    </row>
    <row r="5" spans="2:16" ht="15.6" x14ac:dyDescent="0.3">
      <c r="B5" s="14">
        <f ca="1">RAND()</f>
        <v>0.65575302013210224</v>
      </c>
      <c r="C5" s="4">
        <v>117</v>
      </c>
      <c r="D5" s="13" t="s">
        <v>7</v>
      </c>
      <c r="G5" s="13">
        <v>179</v>
      </c>
      <c r="H5" s="13">
        <v>19</v>
      </c>
      <c r="I5" s="13">
        <v>68</v>
      </c>
      <c r="K5" s="13" t="s">
        <v>8</v>
      </c>
      <c r="L5" s="13">
        <v>5</v>
      </c>
      <c r="M5" s="13" t="s">
        <v>16</v>
      </c>
    </row>
    <row r="6" spans="2:16" ht="18" x14ac:dyDescent="0.35">
      <c r="B6" s="14">
        <f ca="1">RAND()</f>
        <v>0.35029378123942789</v>
      </c>
      <c r="C6" s="4">
        <v>28</v>
      </c>
      <c r="D6" s="13" t="s">
        <v>7</v>
      </c>
      <c r="G6" s="13">
        <v>175</v>
      </c>
      <c r="H6" s="13">
        <v>18</v>
      </c>
      <c r="I6" s="13">
        <v>73</v>
      </c>
      <c r="K6" s="13" t="s">
        <v>8</v>
      </c>
      <c r="L6" s="13">
        <v>4</v>
      </c>
      <c r="M6" s="13" t="s">
        <v>10</v>
      </c>
      <c r="O6" s="12" t="s">
        <v>9</v>
      </c>
      <c r="P6" s="23">
        <f>(3.8/5)</f>
        <v>0.76</v>
      </c>
    </row>
    <row r="7" spans="2:16" ht="18" x14ac:dyDescent="0.35">
      <c r="B7" s="14">
        <f ca="1">RAND()</f>
        <v>0.29084035664310737</v>
      </c>
      <c r="C7" s="4">
        <v>127</v>
      </c>
      <c r="D7" s="13" t="s">
        <v>7</v>
      </c>
      <c r="G7" s="13">
        <v>185</v>
      </c>
      <c r="H7" s="13">
        <v>27</v>
      </c>
      <c r="I7" s="13">
        <v>120</v>
      </c>
      <c r="K7" s="13" t="s">
        <v>8</v>
      </c>
      <c r="L7" s="13">
        <v>4</v>
      </c>
      <c r="M7" s="13" t="s">
        <v>10</v>
      </c>
      <c r="O7" s="12" t="s">
        <v>20</v>
      </c>
      <c r="P7" s="18">
        <f>(4/5)</f>
        <v>0.8</v>
      </c>
    </row>
    <row r="8" spans="2:16" ht="18" x14ac:dyDescent="0.35">
      <c r="B8" s="14">
        <f ca="1">RAND()</f>
        <v>8.0685904166523992E-2</v>
      </c>
      <c r="C8" s="4">
        <v>157</v>
      </c>
      <c r="D8" s="13" t="s">
        <v>7</v>
      </c>
      <c r="G8" s="13">
        <v>185</v>
      </c>
      <c r="H8" s="13">
        <v>19</v>
      </c>
      <c r="I8" s="13">
        <v>88</v>
      </c>
      <c r="K8" s="13" t="s">
        <v>8</v>
      </c>
      <c r="L8" s="13">
        <v>4</v>
      </c>
      <c r="M8" s="13" t="s">
        <v>14</v>
      </c>
      <c r="O8" s="12" t="s">
        <v>11</v>
      </c>
      <c r="P8" s="18">
        <f>(4/5)</f>
        <v>0.8</v>
      </c>
    </row>
    <row r="9" spans="2:16" ht="18" x14ac:dyDescent="0.35">
      <c r="B9" s="14">
        <f ca="1">RAND()</f>
        <v>0.14768923208521456</v>
      </c>
      <c r="C9" s="4">
        <v>47</v>
      </c>
      <c r="D9" s="13" t="s">
        <v>7</v>
      </c>
      <c r="G9" s="13">
        <v>176</v>
      </c>
      <c r="H9" s="13">
        <v>18</v>
      </c>
      <c r="I9" s="13">
        <v>65</v>
      </c>
      <c r="K9" s="13" t="s">
        <v>8</v>
      </c>
      <c r="L9" s="13">
        <v>5</v>
      </c>
      <c r="M9" s="13" t="s">
        <v>22</v>
      </c>
      <c r="O9" s="12" t="s">
        <v>18</v>
      </c>
      <c r="P9" s="18">
        <f>(4/5)</f>
        <v>0.8</v>
      </c>
    </row>
    <row r="10" spans="2:16" ht="18" x14ac:dyDescent="0.35">
      <c r="B10" s="14">
        <f ca="1">RAND()</f>
        <v>0.12709513403193973</v>
      </c>
      <c r="C10" s="4">
        <v>165</v>
      </c>
      <c r="D10" s="13" t="s">
        <v>7</v>
      </c>
      <c r="G10" s="13">
        <v>180</v>
      </c>
      <c r="H10" s="13">
        <v>20</v>
      </c>
      <c r="I10" s="13">
        <v>75</v>
      </c>
      <c r="K10" s="13" t="s">
        <v>8</v>
      </c>
      <c r="L10" s="13">
        <v>4</v>
      </c>
      <c r="M10" s="13" t="s">
        <v>9</v>
      </c>
      <c r="O10" s="12" t="s">
        <v>14</v>
      </c>
      <c r="P10" s="18">
        <f>(4.25/5)</f>
        <v>0.85</v>
      </c>
    </row>
    <row r="11" spans="2:16" ht="18" x14ac:dyDescent="0.35">
      <c r="B11" s="14">
        <f ca="1">RAND()</f>
        <v>0.2001375876962197</v>
      </c>
      <c r="C11" s="4">
        <v>191</v>
      </c>
      <c r="D11" s="13" t="s">
        <v>7</v>
      </c>
      <c r="G11" s="13">
        <v>188</v>
      </c>
      <c r="H11" s="13">
        <v>20</v>
      </c>
      <c r="I11" s="13">
        <v>95</v>
      </c>
      <c r="K11" s="13" t="s">
        <v>8</v>
      </c>
      <c r="L11" s="13">
        <v>4</v>
      </c>
      <c r="M11" s="13" t="s">
        <v>14</v>
      </c>
      <c r="O11" s="12" t="s">
        <v>10</v>
      </c>
      <c r="P11" s="18">
        <f>(4.33333333/5)</f>
        <v>0.86666666600000009</v>
      </c>
    </row>
    <row r="12" spans="2:16" ht="18" x14ac:dyDescent="0.35">
      <c r="B12" s="14">
        <f ca="1">RAND()</f>
        <v>0.34519306177587361</v>
      </c>
      <c r="C12" s="4">
        <v>29</v>
      </c>
      <c r="D12" s="13" t="s">
        <v>7</v>
      </c>
      <c r="G12" s="13">
        <v>190</v>
      </c>
      <c r="H12" s="13">
        <v>19</v>
      </c>
      <c r="I12" s="13">
        <v>82</v>
      </c>
      <c r="K12" s="13" t="s">
        <v>8</v>
      </c>
      <c r="L12" s="13">
        <v>3</v>
      </c>
      <c r="M12" s="13" t="s">
        <v>20</v>
      </c>
      <c r="O12" s="12" t="s">
        <v>22</v>
      </c>
      <c r="P12" s="18">
        <f>(4.5/5)</f>
        <v>0.9</v>
      </c>
    </row>
    <row r="13" spans="2:16" ht="18" x14ac:dyDescent="0.35">
      <c r="B13" s="14">
        <f ca="1">RAND()</f>
        <v>7.5292355003102607E-3</v>
      </c>
      <c r="C13" s="4">
        <v>18</v>
      </c>
      <c r="D13" s="13" t="s">
        <v>7</v>
      </c>
      <c r="G13" s="13">
        <v>187</v>
      </c>
      <c r="H13" s="13">
        <v>23</v>
      </c>
      <c r="I13" s="13">
        <v>91</v>
      </c>
      <c r="K13" s="13" t="s">
        <v>8</v>
      </c>
      <c r="L13" s="13">
        <v>5</v>
      </c>
      <c r="M13" s="13" t="s">
        <v>9</v>
      </c>
      <c r="O13" s="12" t="s">
        <v>16</v>
      </c>
      <c r="P13" s="18">
        <v>1</v>
      </c>
    </row>
    <row r="14" spans="2:16" ht="18" x14ac:dyDescent="0.35">
      <c r="B14" s="14">
        <f ca="1">RAND()</f>
        <v>0.40525792143035622</v>
      </c>
      <c r="C14" s="4">
        <v>37</v>
      </c>
      <c r="D14" s="13" t="s">
        <v>7</v>
      </c>
      <c r="G14" s="13">
        <v>187</v>
      </c>
      <c r="H14" s="13">
        <v>20</v>
      </c>
      <c r="I14" s="13">
        <v>62</v>
      </c>
      <c r="K14" s="13" t="s">
        <v>8</v>
      </c>
      <c r="L14" s="13">
        <v>5</v>
      </c>
      <c r="M14" s="13" t="s">
        <v>11</v>
      </c>
      <c r="O14" s="12" t="s">
        <v>24</v>
      </c>
      <c r="P14" s="18">
        <f>(5/5)</f>
        <v>1</v>
      </c>
    </row>
    <row r="15" spans="2:16" ht="15.6" x14ac:dyDescent="0.3">
      <c r="B15" s="14">
        <f ca="1">RAND()</f>
        <v>0.31944863186426475</v>
      </c>
      <c r="C15" s="4">
        <v>169</v>
      </c>
      <c r="D15" s="13" t="s">
        <v>13</v>
      </c>
      <c r="G15" s="13">
        <v>163</v>
      </c>
      <c r="H15" s="13">
        <v>19</v>
      </c>
      <c r="I15" s="13">
        <v>54</v>
      </c>
      <c r="K15" s="13" t="s">
        <v>8</v>
      </c>
      <c r="L15" s="13">
        <v>3</v>
      </c>
      <c r="M15" s="13" t="s">
        <v>11</v>
      </c>
    </row>
    <row r="16" spans="2:16" ht="15.6" x14ac:dyDescent="0.3">
      <c r="B16" s="14">
        <f ca="1">RAND()</f>
        <v>0.96198421405693824</v>
      </c>
      <c r="C16" s="4">
        <v>43</v>
      </c>
      <c r="D16" s="13" t="s">
        <v>7</v>
      </c>
      <c r="G16" s="13">
        <v>177</v>
      </c>
      <c r="H16" s="13">
        <v>19</v>
      </c>
      <c r="I16" s="13">
        <v>65</v>
      </c>
      <c r="K16" s="13" t="s">
        <v>8</v>
      </c>
      <c r="L16" s="13">
        <v>4</v>
      </c>
      <c r="M16" s="13" t="s">
        <v>9</v>
      </c>
    </row>
    <row r="17" spans="2:13" ht="15.6" x14ac:dyDescent="0.3">
      <c r="B17" s="14">
        <f ca="1">RAND()</f>
        <v>0.26376674106432452</v>
      </c>
      <c r="C17" s="4">
        <v>57</v>
      </c>
      <c r="D17" s="13" t="s">
        <v>7</v>
      </c>
      <c r="G17" s="13">
        <v>176</v>
      </c>
      <c r="H17" s="13">
        <v>19</v>
      </c>
      <c r="I17" s="13">
        <v>72</v>
      </c>
      <c r="K17" s="13" t="s">
        <v>8</v>
      </c>
      <c r="L17" s="13">
        <v>4</v>
      </c>
      <c r="M17" s="13" t="s">
        <v>22</v>
      </c>
    </row>
    <row r="18" spans="2:13" ht="15.6" x14ac:dyDescent="0.3">
      <c r="B18" s="14">
        <f ca="1">RAND()</f>
        <v>0.97430496864176808</v>
      </c>
      <c r="C18" s="4">
        <v>38</v>
      </c>
      <c r="D18" s="13" t="s">
        <v>7</v>
      </c>
      <c r="G18" s="13">
        <v>170</v>
      </c>
      <c r="H18" s="13">
        <v>21</v>
      </c>
      <c r="I18" s="13">
        <v>70</v>
      </c>
      <c r="K18" s="13" t="s">
        <v>8</v>
      </c>
      <c r="L18" s="13">
        <v>4</v>
      </c>
      <c r="M18" s="13" t="s">
        <v>9</v>
      </c>
    </row>
    <row r="19" spans="2:13" ht="15.6" x14ac:dyDescent="0.3">
      <c r="B19" s="14">
        <f ca="1">RAND()</f>
        <v>0.28886457588516912</v>
      </c>
      <c r="C19" s="4">
        <v>129</v>
      </c>
      <c r="D19" s="13" t="s">
        <v>7</v>
      </c>
      <c r="G19" s="13">
        <v>196</v>
      </c>
      <c r="H19" s="13">
        <v>27</v>
      </c>
      <c r="I19" s="13">
        <v>115</v>
      </c>
      <c r="K19" s="13" t="s">
        <v>8</v>
      </c>
      <c r="L19" s="13">
        <v>5</v>
      </c>
      <c r="M19" s="13" t="s">
        <v>10</v>
      </c>
    </row>
    <row r="20" spans="2:13" ht="15.6" x14ac:dyDescent="0.3">
      <c r="B20" s="14">
        <f ca="1">RAND()</f>
        <v>0.70356170052296196</v>
      </c>
      <c r="C20" s="4">
        <v>68</v>
      </c>
      <c r="D20" s="13" t="s">
        <v>7</v>
      </c>
      <c r="G20" s="13">
        <v>175</v>
      </c>
      <c r="H20" s="13">
        <v>18</v>
      </c>
      <c r="I20" s="13">
        <v>75</v>
      </c>
      <c r="K20" s="13" t="s">
        <v>8</v>
      </c>
      <c r="L20" s="13">
        <v>5</v>
      </c>
      <c r="M20" s="13" t="s">
        <v>20</v>
      </c>
    </row>
    <row r="21" spans="2:13" ht="15.6" x14ac:dyDescent="0.3">
      <c r="B21" s="14">
        <f ca="1">RAND()</f>
        <v>7.2438993778478178E-2</v>
      </c>
      <c r="C21" s="4">
        <v>140</v>
      </c>
      <c r="D21" s="13" t="s">
        <v>7</v>
      </c>
      <c r="G21" s="13">
        <v>185</v>
      </c>
      <c r="H21" s="13">
        <v>18</v>
      </c>
      <c r="I21" s="13">
        <v>80</v>
      </c>
      <c r="K21" s="13" t="s">
        <v>8</v>
      </c>
      <c r="L21" s="13">
        <v>4</v>
      </c>
      <c r="M21" s="13" t="s">
        <v>20</v>
      </c>
    </row>
    <row r="22" spans="2:13" ht="15.6" x14ac:dyDescent="0.3">
      <c r="B22" s="14">
        <f ca="1">RAND()</f>
        <v>0.34673072607860822</v>
      </c>
      <c r="C22" s="4">
        <v>49</v>
      </c>
      <c r="D22" s="13" t="s">
        <v>7</v>
      </c>
      <c r="G22" s="13">
        <v>169</v>
      </c>
      <c r="H22" s="13">
        <v>18</v>
      </c>
      <c r="I22" s="13">
        <v>70</v>
      </c>
      <c r="K22" s="13" t="s">
        <v>8</v>
      </c>
      <c r="L22" s="13">
        <v>5</v>
      </c>
      <c r="M22" s="13" t="s">
        <v>14</v>
      </c>
    </row>
    <row r="23" spans="2:13" ht="15.6" x14ac:dyDescent="0.3">
      <c r="B23" s="14">
        <f ca="1">RAND()</f>
        <v>0.97790857213112847</v>
      </c>
      <c r="C23" s="4">
        <v>164</v>
      </c>
      <c r="D23" s="13" t="s">
        <v>7</v>
      </c>
      <c r="G23" s="13">
        <v>185</v>
      </c>
      <c r="H23" s="13">
        <v>20</v>
      </c>
      <c r="I23" s="13">
        <v>100</v>
      </c>
      <c r="K23" s="13" t="s">
        <v>8</v>
      </c>
      <c r="L23" s="13">
        <v>5</v>
      </c>
      <c r="M23" s="13" t="s">
        <v>10</v>
      </c>
    </row>
    <row r="24" spans="2:13" ht="15.6" x14ac:dyDescent="0.3">
      <c r="B24" s="14">
        <f ca="1">RAND()</f>
        <v>0.29455490261156236</v>
      </c>
      <c r="C24" s="4">
        <v>13</v>
      </c>
      <c r="D24" s="13" t="s">
        <v>7</v>
      </c>
      <c r="G24" s="13">
        <v>170</v>
      </c>
      <c r="H24" s="13">
        <v>19</v>
      </c>
      <c r="I24" s="13">
        <v>60</v>
      </c>
      <c r="K24" s="13" t="s">
        <v>8</v>
      </c>
      <c r="L24" s="13">
        <v>4</v>
      </c>
      <c r="M24" s="13" t="s">
        <v>18</v>
      </c>
    </row>
    <row r="25" spans="2:13" ht="15.6" x14ac:dyDescent="0.3">
      <c r="B25" s="14">
        <f ca="1">RAND()</f>
        <v>0.45600678495253788</v>
      </c>
      <c r="C25" s="4">
        <v>84</v>
      </c>
      <c r="D25" s="13" t="s">
        <v>7</v>
      </c>
      <c r="G25" s="13">
        <v>175</v>
      </c>
      <c r="H25" s="13">
        <v>19</v>
      </c>
      <c r="I25" s="13">
        <v>79</v>
      </c>
      <c r="K25" s="13" t="s">
        <v>8</v>
      </c>
      <c r="L25" s="13">
        <v>4</v>
      </c>
      <c r="M25" s="13" t="s">
        <v>10</v>
      </c>
    </row>
    <row r="26" spans="2:13" ht="15.6" x14ac:dyDescent="0.3">
      <c r="B26" s="14">
        <f ca="1">RAND()</f>
        <v>0.89836186954888253</v>
      </c>
      <c r="C26" s="4">
        <v>119</v>
      </c>
      <c r="D26" s="13" t="s">
        <v>7</v>
      </c>
      <c r="G26" s="13">
        <v>184</v>
      </c>
      <c r="H26" s="13">
        <v>19</v>
      </c>
      <c r="I26" s="13">
        <v>84</v>
      </c>
      <c r="K26" s="13" t="s">
        <v>8</v>
      </c>
      <c r="L26" s="13">
        <v>4</v>
      </c>
      <c r="M26" s="13" t="s">
        <v>10</v>
      </c>
    </row>
    <row r="27" spans="2:13" ht="15.6" x14ac:dyDescent="0.3">
      <c r="B27" s="14">
        <f ca="1">RAND()</f>
        <v>0.11528387702561849</v>
      </c>
      <c r="C27" s="4">
        <v>125</v>
      </c>
      <c r="D27" s="13" t="s">
        <v>7</v>
      </c>
      <c r="G27" s="13">
        <v>188</v>
      </c>
      <c r="H27" s="13">
        <v>20</v>
      </c>
      <c r="I27" s="13">
        <v>92</v>
      </c>
      <c r="K27" s="13" t="s">
        <v>8</v>
      </c>
      <c r="L27" s="13">
        <v>4</v>
      </c>
      <c r="M27" s="13" t="s">
        <v>14</v>
      </c>
    </row>
    <row r="28" spans="2:13" x14ac:dyDescent="0.3">
      <c r="C28" s="3"/>
      <c r="D28" s="1"/>
      <c r="G28" s="1"/>
      <c r="H28" s="1"/>
      <c r="I28" s="1"/>
      <c r="K28" s="1"/>
      <c r="L28" s="1"/>
    </row>
    <row r="29" spans="2:13" ht="17.399999999999999" customHeight="1" x14ac:dyDescent="0.35">
      <c r="B29" s="36" t="s">
        <v>38</v>
      </c>
      <c r="C29" s="37"/>
      <c r="D29" s="38"/>
      <c r="F29" s="35" t="s">
        <v>44</v>
      </c>
      <c r="G29" s="35"/>
      <c r="H29" s="35"/>
      <c r="I29" s="35"/>
      <c r="J29" s="15"/>
      <c r="K29" s="17" t="s">
        <v>51</v>
      </c>
      <c r="L29" s="34">
        <f>AVERAGE(L3:L27)</f>
        <v>4.2</v>
      </c>
    </row>
    <row r="30" spans="2:13" ht="18" x14ac:dyDescent="0.35">
      <c r="B30" s="24" t="s">
        <v>0</v>
      </c>
      <c r="C30" s="26" t="s">
        <v>39</v>
      </c>
      <c r="D30" s="26" t="s">
        <v>40</v>
      </c>
      <c r="F30" s="33" t="s">
        <v>47</v>
      </c>
      <c r="G30" s="34">
        <f>AVERAGE(G3:G27)</f>
        <v>180.2</v>
      </c>
      <c r="H30" s="34">
        <f>AVERAGE(H3:H27)</f>
        <v>19.920000000000002</v>
      </c>
      <c r="I30" s="34">
        <f>AVERAGE(I3:I27)</f>
        <v>79.36</v>
      </c>
      <c r="J30" s="16"/>
      <c r="K30" s="17"/>
      <c r="L30" s="34">
        <f>MEDIAN(L3:L27)</f>
        <v>4</v>
      </c>
    </row>
    <row r="31" spans="2:13" ht="18" x14ac:dyDescent="0.35">
      <c r="B31" s="27" t="s">
        <v>7</v>
      </c>
      <c r="C31" s="28">
        <v>24</v>
      </c>
      <c r="D31" s="31">
        <v>0.96</v>
      </c>
      <c r="F31" s="33" t="s">
        <v>33</v>
      </c>
      <c r="G31" s="34">
        <f>MEDIAN(G3:G27)</f>
        <v>180</v>
      </c>
      <c r="H31" s="34">
        <f>MEDIAN(H3:H27)</f>
        <v>19</v>
      </c>
      <c r="I31" s="34">
        <f>MEDIAN(I3:I27)</f>
        <v>75</v>
      </c>
      <c r="J31" s="16"/>
      <c r="K31" s="17"/>
      <c r="L31" s="34">
        <f>PERCENTILE(L3:L27,0.25)</f>
        <v>4</v>
      </c>
    </row>
    <row r="32" spans="2:13" ht="18" x14ac:dyDescent="0.35">
      <c r="B32" s="27" t="s">
        <v>13</v>
      </c>
      <c r="C32" s="28">
        <v>1</v>
      </c>
      <c r="D32" s="32">
        <v>0.04</v>
      </c>
      <c r="F32" s="33" t="s">
        <v>35</v>
      </c>
      <c r="G32" s="34">
        <f>PERCENTILE(G3:G27,0.25)</f>
        <v>175</v>
      </c>
      <c r="H32" s="34">
        <f>PERCENTILE(H3:H27,0.25)</f>
        <v>19</v>
      </c>
      <c r="I32" s="34">
        <f>PERCENTILE(I3:I27,0.25)</f>
        <v>70</v>
      </c>
      <c r="J32" s="16"/>
      <c r="K32" s="17"/>
      <c r="L32" s="34">
        <f>PERCENTILE(L3:L27,0.75)</f>
        <v>5</v>
      </c>
    </row>
    <row r="33" spans="2:16" ht="18" x14ac:dyDescent="0.35">
      <c r="B33" s="11"/>
      <c r="C33" s="11"/>
      <c r="D33" s="11"/>
      <c r="F33" s="33" t="s">
        <v>34</v>
      </c>
      <c r="G33" s="34">
        <f>PERCENTILE(G3:G27,0.75)</f>
        <v>187</v>
      </c>
      <c r="H33" s="34">
        <f>PERCENTILE(H3:H27,0.75)</f>
        <v>20</v>
      </c>
      <c r="I33" s="34">
        <f>PERCENTILE(I3:I27,0.75)</f>
        <v>88</v>
      </c>
      <c r="J33" s="16"/>
      <c r="K33" s="17"/>
      <c r="L33" s="34">
        <f>_xlfn.STDEV.S(L3:L27)</f>
        <v>0.76376261582597338</v>
      </c>
    </row>
    <row r="34" spans="2:16" ht="18" x14ac:dyDescent="0.35">
      <c r="B34" s="11"/>
      <c r="C34" s="11"/>
      <c r="D34" s="11"/>
      <c r="F34" s="33" t="s">
        <v>36</v>
      </c>
      <c r="G34" s="34">
        <f>_xlfn.STDEV.S(G3:G27)</f>
        <v>7.963458210266861</v>
      </c>
      <c r="H34" s="34">
        <f>_xlfn.STDEV.S(H3:H27)</f>
        <v>2.4310491562286449</v>
      </c>
      <c r="I34" s="34">
        <f>_xlfn.STDEV.S(I3:I27)</f>
        <v>16.087987236858865</v>
      </c>
      <c r="J34" s="16"/>
    </row>
    <row r="35" spans="2:16" ht="21" x14ac:dyDescent="0.35">
      <c r="B35" s="11"/>
      <c r="C35" s="11"/>
      <c r="D35" s="11"/>
      <c r="G35" s="11"/>
      <c r="H35" s="11"/>
      <c r="I35" s="11"/>
      <c r="K35" s="39" t="s">
        <v>42</v>
      </c>
      <c r="L35" s="39"/>
      <c r="M35" s="39"/>
      <c r="N35" s="39"/>
      <c r="O35" s="21"/>
      <c r="P35" s="21"/>
    </row>
    <row r="36" spans="2:16" ht="18" x14ac:dyDescent="0.35">
      <c r="B36" s="11"/>
      <c r="C36" s="11"/>
      <c r="D36" s="11"/>
      <c r="G36" s="11"/>
      <c r="H36" s="11"/>
      <c r="I36" s="11"/>
      <c r="K36" s="24" t="s">
        <v>43</v>
      </c>
      <c r="L36" s="25" t="s">
        <v>46</v>
      </c>
      <c r="M36" s="26" t="s">
        <v>52</v>
      </c>
      <c r="N36" s="26" t="s">
        <v>40</v>
      </c>
    </row>
    <row r="37" spans="2:16" ht="18" x14ac:dyDescent="0.35">
      <c r="B37" s="11"/>
      <c r="C37" s="11"/>
      <c r="D37" s="11"/>
      <c r="G37" s="11"/>
      <c r="H37" s="11"/>
      <c r="I37" s="11"/>
      <c r="K37" s="27" t="s">
        <v>9</v>
      </c>
      <c r="L37" s="28">
        <f>AVERAGEIF(M3:M27,K37,L3:L27)</f>
        <v>3.8</v>
      </c>
      <c r="M37" s="28">
        <f>+COUNTIF(M3:M27,K37)</f>
        <v>5</v>
      </c>
      <c r="N37" s="29">
        <f>(5/25)</f>
        <v>0.2</v>
      </c>
      <c r="O37" s="22"/>
    </row>
    <row r="38" spans="2:16" ht="18" x14ac:dyDescent="0.35">
      <c r="B38" s="11"/>
      <c r="C38" s="11"/>
      <c r="D38" s="11"/>
      <c r="G38" s="11"/>
      <c r="H38" s="11"/>
      <c r="I38" s="11"/>
      <c r="K38" s="27" t="s">
        <v>16</v>
      </c>
      <c r="L38" s="28">
        <f>AVERAGEIF(M3:M27,K38,L3:L27)</f>
        <v>5</v>
      </c>
      <c r="M38" s="28">
        <f>+COUNTIF(M3:M27,K38)</f>
        <v>1</v>
      </c>
      <c r="N38" s="30">
        <f>(1/25)</f>
        <v>0.04</v>
      </c>
    </row>
    <row r="39" spans="2:16" ht="18" x14ac:dyDescent="0.35">
      <c r="B39" s="11"/>
      <c r="C39" s="11"/>
      <c r="D39" s="11"/>
      <c r="G39" s="11"/>
      <c r="H39" s="11"/>
      <c r="I39" s="11"/>
      <c r="K39" s="27" t="s">
        <v>10</v>
      </c>
      <c r="L39" s="28">
        <f>AVERAGEIF(M3:M27,K39,L3:L27)</f>
        <v>4.333333333333333</v>
      </c>
      <c r="M39" s="28">
        <f>+COUNTIF(M3:M27,K39)</f>
        <v>6</v>
      </c>
      <c r="N39" s="30">
        <f>(6/25)</f>
        <v>0.24</v>
      </c>
    </row>
    <row r="40" spans="2:16" ht="18" x14ac:dyDescent="0.35">
      <c r="H40" s="5"/>
      <c r="I40" s="6"/>
      <c r="K40" s="27" t="s">
        <v>14</v>
      </c>
      <c r="L40" s="28">
        <f>AVERAGEIF(M3:M27,K40,L3:L27)</f>
        <v>4.25</v>
      </c>
      <c r="M40" s="28">
        <f>COUNTIF(M3:M27,K40)</f>
        <v>4</v>
      </c>
      <c r="N40" s="30">
        <f>(4/25)</f>
        <v>0.16</v>
      </c>
    </row>
    <row r="41" spans="2:16" s="2" customFormat="1" ht="18" customHeight="1" x14ac:dyDescent="0.35">
      <c r="J41" s="19" t="s">
        <v>50</v>
      </c>
      <c r="K41" s="27" t="s">
        <v>20</v>
      </c>
      <c r="L41" s="28">
        <f>AVERAGEIF(M3:M27,K41,L3:L27)</f>
        <v>4</v>
      </c>
      <c r="M41" s="28">
        <f>+COUNTIF(M3:M27,K41)</f>
        <v>3</v>
      </c>
      <c r="N41" s="30">
        <f>(3/25)</f>
        <v>0.12</v>
      </c>
    </row>
    <row r="42" spans="2:16" ht="18" x14ac:dyDescent="0.35">
      <c r="J42" s="19"/>
      <c r="K42" s="27" t="s">
        <v>24</v>
      </c>
      <c r="L42" s="28">
        <f>AVERAGEIF(M3:M27,K42,L3:L27)</f>
        <v>5</v>
      </c>
      <c r="M42" s="28">
        <f>+COUNTIF(M3:M27,K42)</f>
        <v>1</v>
      </c>
      <c r="N42" s="30">
        <f>(1/25)</f>
        <v>0.04</v>
      </c>
    </row>
    <row r="43" spans="2:16" ht="18" x14ac:dyDescent="0.35">
      <c r="J43" s="19"/>
      <c r="K43" s="27" t="s">
        <v>11</v>
      </c>
      <c r="L43" s="28">
        <f>AVERAGEIF(M3:M27,K43,L3:L27)</f>
        <v>4</v>
      </c>
      <c r="M43" s="28">
        <f>+COUNTIF(M3:M27,K43)</f>
        <v>2</v>
      </c>
      <c r="N43" s="30">
        <f>(2/25)</f>
        <v>0.08</v>
      </c>
    </row>
    <row r="44" spans="2:16" ht="18" x14ac:dyDescent="0.35">
      <c r="J44" s="19"/>
      <c r="K44" s="27" t="s">
        <v>22</v>
      </c>
      <c r="L44" s="28">
        <f>AVERAGEIF(M3:M27,K44,L3:L27)</f>
        <v>4.5</v>
      </c>
      <c r="M44" s="28">
        <f>+COUNTIF(M3:M27,K44)</f>
        <v>2</v>
      </c>
      <c r="N44" s="30">
        <f>(2/25)</f>
        <v>0.08</v>
      </c>
    </row>
    <row r="45" spans="2:16" ht="18" x14ac:dyDescent="0.35">
      <c r="J45" s="19"/>
      <c r="K45" s="27" t="s">
        <v>18</v>
      </c>
      <c r="L45" s="28">
        <f>AVERAGEIF(M3:M27,K45,L3:L27)</f>
        <v>4</v>
      </c>
      <c r="M45" s="28">
        <f>+COUNTIF(M3:M27,K45)</f>
        <v>1</v>
      </c>
      <c r="N45" s="30">
        <v>0.04</v>
      </c>
    </row>
  </sheetData>
  <sortState xmlns:xlrd2="http://schemas.microsoft.com/office/spreadsheetml/2017/richdata2" ref="O7:P14">
    <sortCondition ref="P14"/>
  </sortState>
  <mergeCells count="4">
    <mergeCell ref="F29:I29"/>
    <mergeCell ref="K35:N35"/>
    <mergeCell ref="K29:K33"/>
    <mergeCell ref="B29:D29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FECFD65A558842917296554243D624" ma:contentTypeVersion="6" ma:contentTypeDescription="Criar um novo documento." ma:contentTypeScope="" ma:versionID="ab1e6ec91ef609fc11e84e4ef2583f7a">
  <xsd:schema xmlns:xsd="http://www.w3.org/2001/XMLSchema" xmlns:xs="http://www.w3.org/2001/XMLSchema" xmlns:p="http://schemas.microsoft.com/office/2006/metadata/properties" xmlns:ns3="9189aead-14f8-4f0c-8004-c1daf7ae9851" targetNamespace="http://schemas.microsoft.com/office/2006/metadata/properties" ma:root="true" ma:fieldsID="35d51e2dda4b9c0015ffb37534ed3ccd" ns3:_="">
    <xsd:import namespace="9189aead-14f8-4f0c-8004-c1daf7ae98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9aead-14f8-4f0c-8004-c1daf7ae9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89aead-14f8-4f0c-8004-c1daf7ae9851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606DBFC-CEA1-4919-960F-16ABD1245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9aead-14f8-4f0c-8004-c1daf7ae9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5C6110-D223-4F09-97D4-BFD47A4F29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39B31C-F620-4D96-B5A3-BF11DB56943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9189aead-14f8-4f0c-8004-c1daf7ae9851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C2FEC2B-AD8D-482F-8764-3880CB614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 do Questionário</vt:lpstr>
      <vt:lpstr>Análise dos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Mafalda Martins Vieira</dc:creator>
  <cp:lastModifiedBy>Eduarda Mafalda Martins Vieira</cp:lastModifiedBy>
  <dcterms:created xsi:type="dcterms:W3CDTF">2023-10-14T17:28:05Z</dcterms:created>
  <dcterms:modified xsi:type="dcterms:W3CDTF">2023-10-14T23:15:54Z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0x010100DDFECFD65A558842917296554243D624</vt:lpwstr>
  </property>
</Properties>
</file>